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Tabulasi Data Perusahaan\"/>
    </mc:Choice>
  </mc:AlternateContent>
  <xr:revisionPtr revIDLastSave="0" documentId="13_ncr:1_{1D9F3A2F-3A72-4767-97F6-C0C0943E9A95}" xr6:coauthVersionLast="47" xr6:coauthVersionMax="47" xr10:uidLastSave="{00000000-0000-0000-0000-000000000000}"/>
  <bookViews>
    <workbookView xWindow="-110" yWindow="-110" windowWidth="19420" windowHeight="10300" activeTab="1" xr2:uid="{C978DF59-235A-4B0A-95E7-33E5CEA4088D}"/>
  </bookViews>
  <sheets>
    <sheet name="Sheet1" sheetId="2" r:id="rId1"/>
    <sheet name="Sheet2" sheetId="3" r:id="rId2"/>
    <sheet name="IR" sheetId="4" r:id="rId3"/>
  </sheets>
  <definedNames>
    <definedName name="_xlnm._FilterDatabase" localSheetId="0" hidden="1">Sheet1!$G$4:$I$37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" i="3" l="1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M21" i="3"/>
  <c r="M22" i="3"/>
  <c r="M23" i="3"/>
  <c r="M29" i="3"/>
  <c r="M30" i="3"/>
  <c r="N31" i="3"/>
  <c r="M9" i="3"/>
  <c r="M4" i="3"/>
  <c r="M5" i="3"/>
  <c r="M6" i="3"/>
  <c r="M7" i="3"/>
  <c r="M8" i="3"/>
  <c r="M10" i="3"/>
  <c r="M11" i="3"/>
  <c r="M12" i="3"/>
  <c r="M13" i="3"/>
  <c r="M14" i="3"/>
  <c r="M15" i="3"/>
  <c r="M16" i="3"/>
  <c r="M17" i="3"/>
  <c r="M18" i="3"/>
  <c r="M19" i="3"/>
  <c r="M20" i="3"/>
  <c r="M24" i="3"/>
  <c r="M25" i="3"/>
  <c r="M26" i="3"/>
  <c r="M27" i="3"/>
  <c r="M28" i="3"/>
  <c r="M31" i="3"/>
  <c r="M32" i="3"/>
  <c r="M33" i="3"/>
  <c r="M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2" i="3"/>
  <c r="N33" i="3"/>
  <c r="N3" i="3"/>
  <c r="P3" i="3"/>
  <c r="O3" i="3"/>
</calcChain>
</file>

<file path=xl/sharedStrings.xml><?xml version="1.0" encoding="utf-8"?>
<sst xmlns="http://schemas.openxmlformats.org/spreadsheetml/2006/main" count="341" uniqueCount="133">
  <si>
    <t>No.</t>
  </si>
  <si>
    <t>Kode</t>
  </si>
  <si>
    <t>Nama Perusahaan</t>
  </si>
  <si>
    <t>Sektor</t>
  </si>
  <si>
    <t>Industri</t>
  </si>
  <si>
    <t>Laporan Tahunan Terintegrasi</t>
  </si>
  <si>
    <t>2019</t>
  </si>
  <si>
    <t>2020</t>
  </si>
  <si>
    <t>2021</t>
  </si>
  <si>
    <t>ARTO</t>
  </si>
  <si>
    <t>PT Bank Jago Tbk</t>
  </si>
  <si>
    <t>Keuangan</t>
  </si>
  <si>
    <t>Bank</t>
  </si>
  <si>
    <t>X</t>
  </si>
  <si>
    <t>V</t>
  </si>
  <si>
    <t>GMFI</t>
  </si>
  <si>
    <t>PT Garuda Maintenance Facility Aero Asia Tbk</t>
  </si>
  <si>
    <t>Aneka Industri</t>
  </si>
  <si>
    <t>Mesin dan Alat Berat</t>
  </si>
  <si>
    <t>PEHA</t>
  </si>
  <si>
    <t>PT Phapros Tbk</t>
  </si>
  <si>
    <t>Industri Barang Konsumsi</t>
  </si>
  <si>
    <t>Obat-obatan</t>
  </si>
  <si>
    <t>MARK</t>
  </si>
  <si>
    <t>PT Mark Dynamics Indonesia Tbk</t>
  </si>
  <si>
    <t>Industri Dasar dan Kimia</t>
  </si>
  <si>
    <t>Keramik, Kaca, Porselin</t>
  </si>
  <si>
    <t>SEMA</t>
  </si>
  <si>
    <t xml:space="preserve"> PT Semacom Integrated Tbk</t>
  </si>
  <si>
    <t>Infrastruktur, Utilitas &amp; Transportasi</t>
  </si>
  <si>
    <t>Energi</t>
  </si>
  <si>
    <t>IBFN</t>
  </si>
  <si>
    <t>PT Intan Baru Prana Tbk</t>
  </si>
  <si>
    <t>Institusi Keuangan</t>
  </si>
  <si>
    <t>KREN</t>
  </si>
  <si>
    <t>PT Kresna Graha Investama Tbk</t>
  </si>
  <si>
    <t>Layanan Perdagangan dan Investasi</t>
  </si>
  <si>
    <t>Perusahaan Investasi</t>
  </si>
  <si>
    <t>FUJI</t>
  </si>
  <si>
    <t>PT Fuji Finance Indonesia Tbk</t>
  </si>
  <si>
    <t>FPNI</t>
  </si>
  <si>
    <t>PT Lotte Chemical Titan Tbk</t>
  </si>
  <si>
    <t>Plastik &amp; Kemasan</t>
  </si>
  <si>
    <t>IBOS</t>
  </si>
  <si>
    <t>PT Indo Boga Sukses Tbk</t>
  </si>
  <si>
    <t>Makanan dan Minuman</t>
  </si>
  <si>
    <t>CSIS</t>
  </si>
  <si>
    <t>PT Cahayasakti Investindo Sukses Tbk</t>
  </si>
  <si>
    <t>Properti, Perumahan dan Konstruksi Bangunan</t>
  </si>
  <si>
    <t>Konstruksi Bangunan</t>
  </si>
  <si>
    <t>EXCL</t>
  </si>
  <si>
    <t>PT Xl Axiata Tbk</t>
  </si>
  <si>
    <t>Telekomunikasi</t>
  </si>
  <si>
    <t>TINS</t>
  </si>
  <si>
    <t>PT Timah Tbk</t>
  </si>
  <si>
    <t>Tambang</t>
  </si>
  <si>
    <t>Penambangan Logam dan Mineral</t>
  </si>
  <si>
    <t>FIRE</t>
  </si>
  <si>
    <t>PT Alfa Energi Investama Tbk</t>
  </si>
  <si>
    <t>Tambang Batubara</t>
  </si>
  <si>
    <t>BNBR</t>
  </si>
  <si>
    <t>PT Bakrie &amp; Brothers Tbk</t>
  </si>
  <si>
    <t>IMFI</t>
  </si>
  <si>
    <t>PT Indomobil Finance Indonesia</t>
  </si>
  <si>
    <t>PT JACCS MPM Finance Indonesia</t>
  </si>
  <si>
    <t>BFIN</t>
  </si>
  <si>
    <t>PT BFI Finance Indonesia Tbk</t>
  </si>
  <si>
    <t>2016, 2017, 2018</t>
  </si>
  <si>
    <t>HEXA</t>
  </si>
  <si>
    <t>PT Hexindo Adiperkasa Tbk</t>
  </si>
  <si>
    <t>Grosir (Barang Tahan Lama &amp; Tidak Tahan Lama)</t>
  </si>
  <si>
    <t>EDGE</t>
  </si>
  <si>
    <t>PT Indointernet Tbk</t>
  </si>
  <si>
    <t>Komputer dan Layanan</t>
  </si>
  <si>
    <t>JPFA</t>
  </si>
  <si>
    <t>PT Japfa Comfeed Indonesia Tbk</t>
  </si>
  <si>
    <t>Pakan Ternak</t>
  </si>
  <si>
    <t>JTPE</t>
  </si>
  <si>
    <t>PT Jasuindo Tiga Perkasa Tbk</t>
  </si>
  <si>
    <t>Periklanan, Percetakan &amp; Media</t>
  </si>
  <si>
    <t>KICI</t>
  </si>
  <si>
    <t>PT Kedaung Indah Can Tbk</t>
  </si>
  <si>
    <t>Peralatan Rumah Tangga</t>
  </si>
  <si>
    <t>MMLP</t>
  </si>
  <si>
    <t>PT Mega Manunggal Property Tbk</t>
  </si>
  <si>
    <t>Properti dan Perumahan</t>
  </si>
  <si>
    <t>PT Pertamina Hulu Energi</t>
  </si>
  <si>
    <t>2014, 2015, 2016, 2017</t>
  </si>
  <si>
    <t>PT Pertamina Lubricants</t>
  </si>
  <si>
    <t>2015, 2017</t>
  </si>
  <si>
    <t>SMAR</t>
  </si>
  <si>
    <t>PT Sinar Mas Agro Resources and Technology Tbk</t>
  </si>
  <si>
    <t>Pertanian</t>
  </si>
  <si>
    <t>Perkebunan</t>
  </si>
  <si>
    <t>TRIN</t>
  </si>
  <si>
    <t>PT Perintis Triniti Properti Tbk</t>
  </si>
  <si>
    <t>DEPO</t>
  </si>
  <si>
    <t>PT Caturkarda Depo Bangunan Tbk</t>
  </si>
  <si>
    <t>Perdagangan Eceran</t>
  </si>
  <si>
    <t>KEJU</t>
  </si>
  <si>
    <t>PT Mulia Boga Raya Tbk</t>
  </si>
  <si>
    <t>LPKR</t>
  </si>
  <si>
    <t>PT Lippo Karawaci Tbk</t>
  </si>
  <si>
    <t>TOTAL</t>
  </si>
  <si>
    <t>44 sampel perusahaan</t>
  </si>
  <si>
    <t>http://iaiglobal.or.id/v03/files/modul/pk_19/files/basic-html/page376.html</t>
  </si>
  <si>
    <t>Date : 19.02.23</t>
  </si>
  <si>
    <t>Kode Perusahaan</t>
  </si>
  <si>
    <t>No</t>
  </si>
  <si>
    <t>Kepemilikan Institusional (X1)</t>
  </si>
  <si>
    <t>Kepemilikan Manajerial (X2)</t>
  </si>
  <si>
    <t>Kualitas &lt;IR&gt; (Y)</t>
  </si>
  <si>
    <t>Saham dipegang institusi</t>
  </si>
  <si>
    <t>Nilai Perusahaan dengan Tobin's Q (X3)</t>
  </si>
  <si>
    <t>average total sales X(4)</t>
  </si>
  <si>
    <t>Sales</t>
  </si>
  <si>
    <t>Harga Saham terakhir</t>
  </si>
  <si>
    <t>Jumlah saham beredar terakhir</t>
  </si>
  <si>
    <t>Utang (Jumlah Liabilitas)</t>
  </si>
  <si>
    <t>Jumlah aset</t>
  </si>
  <si>
    <t>Jumlah saham direksi komisaris dan manajer</t>
  </si>
  <si>
    <t>Lampiran 2: Data Penelitian</t>
  </si>
  <si>
    <t>Nama &amp; Tahun 2019</t>
  </si>
  <si>
    <t xml:space="preserve">Gambaran  Organisasi  dan Lingkungan Eksternal </t>
  </si>
  <si>
    <t xml:space="preserve">Tata Kelola  Organisasi </t>
  </si>
  <si>
    <t xml:space="preserve">Model  Bisnis </t>
  </si>
  <si>
    <t xml:space="preserve">Strategi dan Alokasi </t>
  </si>
  <si>
    <t>Kinerja</t>
  </si>
  <si>
    <t xml:space="preserve">Prospek  Masa  Depan  </t>
  </si>
  <si>
    <t xml:space="preserve">Dasar  Pengungkapan  Elemen  </t>
  </si>
  <si>
    <t>IR</t>
  </si>
  <si>
    <t>Item</t>
  </si>
  <si>
    <t xml:space="preserve">Resiko dan Peluang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</si>
</sst>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sto MT"/>
      <family val="1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1"/>
    <xf numFmtId="0" fontId="1" fillId="2" borderId="1" xfId="1" quotePrefix="1" applyFont="1" applyFill="1" applyBorder="1" applyAlignment="1">
      <alignment horizontal="center"/>
    </xf>
    <xf numFmtId="0" fontId="2" fillId="0" borderId="1" xfId="1" applyBorder="1"/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0" xfId="1" applyFont="1"/>
    <xf numFmtId="0" fontId="6" fillId="0" borderId="1" xfId="1" applyFont="1" applyBorder="1"/>
    <xf numFmtId="0" fontId="7" fillId="0" borderId="2" xfId="1" applyFont="1" applyBorder="1" applyAlignment="1">
      <alignment horizontal="left"/>
    </xf>
    <xf numFmtId="0" fontId="2" fillId="0" borderId="0" xfId="1" applyAlignment="1">
      <alignment horizontal="left"/>
    </xf>
    <xf numFmtId="0" fontId="7" fillId="0" borderId="3" xfId="1" applyFont="1" applyBorder="1" applyAlignment="1">
      <alignment horizontal="left"/>
    </xf>
    <xf numFmtId="0" fontId="8" fillId="0" borderId="0" xfId="1" applyFont="1"/>
    <xf numFmtId="0" fontId="4" fillId="0" borderId="0" xfId="1" applyFont="1" applyAlignment="1">
      <alignment horizontal="center"/>
    </xf>
    <xf numFmtId="0" fontId="9" fillId="0" borderId="0" xfId="2"/>
    <xf numFmtId="0" fontId="0" fillId="0" borderId="0" xfId="0" applyAlignment="1">
      <alignment horizontal="right"/>
    </xf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9" xfId="0" applyFont="1" applyBorder="1"/>
    <xf numFmtId="164" fontId="14" fillId="0" borderId="9" xfId="0" applyNumberFormat="1" applyFont="1" applyBorder="1"/>
    <xf numFmtId="0" fontId="1" fillId="2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5" fillId="0" borderId="6" xfId="0" applyFont="1" applyBorder="1"/>
    <xf numFmtId="0" fontId="15" fillId="0" borderId="7" xfId="0" applyFont="1" applyBorder="1"/>
    <xf numFmtId="0" fontId="13" fillId="0" borderId="4" xfId="0" applyFont="1" applyBorder="1" applyAlignment="1">
      <alignment horizontal="center" vertical="center" wrapText="1"/>
    </xf>
    <xf numFmtId="0" fontId="15" fillId="0" borderId="10" xfId="0" applyFont="1" applyBorder="1"/>
    <xf numFmtId="0" fontId="15" fillId="0" borderId="8" xfId="0" applyFont="1" applyBorder="1"/>
    <xf numFmtId="0" fontId="6" fillId="0" borderId="1" xfId="0" applyNumberFormat="1" applyFont="1" applyBorder="1" applyAlignment="1">
      <alignment horizontal="right" wrapText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/>
    <xf numFmtId="0" fontId="11" fillId="0" borderId="1" xfId="0" applyNumberFormat="1" applyFont="1" applyBorder="1" applyAlignment="1">
      <alignment vertical="center"/>
    </xf>
    <xf numFmtId="0" fontId="11" fillId="0" borderId="1" xfId="0" applyNumberFormat="1" applyFont="1" applyBorder="1"/>
    <xf numFmtId="0" fontId="2" fillId="0" borderId="1" xfId="1" applyNumberFormat="1" applyBorder="1"/>
    <xf numFmtId="0" fontId="10" fillId="0" borderId="1" xfId="0" applyNumberFormat="1" applyFont="1" applyBorder="1" applyAlignment="1">
      <alignment horizontal="right" wrapText="1"/>
    </xf>
    <xf numFmtId="0" fontId="12" fillId="0" borderId="1" xfId="0" applyNumberFormat="1" applyFont="1" applyBorder="1" applyAlignment="1">
      <alignment wrapText="1"/>
    </xf>
    <xf numFmtId="3" fontId="6" fillId="0" borderId="1" xfId="0" applyNumberFormat="1" applyFont="1" applyBorder="1" applyAlignment="1">
      <alignment horizontal="right" wrapText="1"/>
    </xf>
  </cellXfs>
  <cellStyles count="3">
    <cellStyle name="Hyperlink 2" xfId="2" xr:uid="{32992D08-F23B-4A4C-BB24-15ADE9FE7D90}"/>
    <cellStyle name="Normal" xfId="0" builtinId="0"/>
    <cellStyle name="Normal 2" xfId="1" xr:uid="{717FA893-95E7-40DF-8E61-C77785E264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aiglobal.or.id/v03/files/modul/pk_19/files/basic-html/page37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167A-E67A-45F3-A392-03D5CA15E4F5}">
  <dimension ref="B2:J40"/>
  <sheetViews>
    <sheetView zoomScale="80" zoomScaleNormal="80" workbookViewId="0">
      <pane ySplit="4" topLeftCell="A6" activePane="bottomLeft" state="frozen"/>
      <selection pane="bottomLeft" activeCell="D40" sqref="D40"/>
    </sheetView>
  </sheetViews>
  <sheetFormatPr defaultColWidth="11.6328125" defaultRowHeight="15.5" x14ac:dyDescent="0.35"/>
  <cols>
    <col min="1" max="1" width="2.7265625" style="1" customWidth="1"/>
    <col min="2" max="2" width="5.08984375" style="1" customWidth="1"/>
    <col min="3" max="3" width="7.54296875" style="1" customWidth="1"/>
    <col min="4" max="4" width="43.26953125" style="1" bestFit="1" customWidth="1"/>
    <col min="5" max="5" width="43.08984375" style="1" customWidth="1"/>
    <col min="6" max="6" width="31.54296875" style="1" customWidth="1"/>
    <col min="7" max="16384" width="11.6328125" style="1"/>
  </cols>
  <sheetData>
    <row r="2" spans="2:9" x14ac:dyDescent="0.35">
      <c r="I2" s="14" t="s">
        <v>106</v>
      </c>
    </row>
    <row r="3" spans="2:9" x14ac:dyDescent="0.35">
      <c r="B3" s="26" t="s">
        <v>0</v>
      </c>
      <c r="C3" s="26" t="s">
        <v>1</v>
      </c>
      <c r="D3" s="26" t="s">
        <v>2</v>
      </c>
      <c r="E3" s="26" t="s">
        <v>3</v>
      </c>
      <c r="F3" s="26" t="s">
        <v>4</v>
      </c>
      <c r="G3" s="25" t="s">
        <v>5</v>
      </c>
      <c r="H3" s="25"/>
      <c r="I3" s="25"/>
    </row>
    <row r="4" spans="2:9" x14ac:dyDescent="0.35">
      <c r="B4" s="26"/>
      <c r="C4" s="26"/>
      <c r="D4" s="26"/>
      <c r="E4" s="26"/>
      <c r="F4" s="26"/>
      <c r="G4" s="2" t="s">
        <v>6</v>
      </c>
      <c r="H4" s="2" t="s">
        <v>7</v>
      </c>
      <c r="I4" s="2" t="s">
        <v>8</v>
      </c>
    </row>
    <row r="5" spans="2:9" x14ac:dyDescent="0.35">
      <c r="B5" s="3">
        <v>1</v>
      </c>
      <c r="C5" s="3" t="s">
        <v>9</v>
      </c>
      <c r="D5" s="3" t="s">
        <v>10</v>
      </c>
      <c r="E5" s="3" t="s">
        <v>11</v>
      </c>
      <c r="F5" s="3" t="s">
        <v>12</v>
      </c>
      <c r="G5" s="4" t="s">
        <v>13</v>
      </c>
      <c r="H5" s="5" t="s">
        <v>14</v>
      </c>
      <c r="I5" s="4" t="s">
        <v>13</v>
      </c>
    </row>
    <row r="6" spans="2:9" x14ac:dyDescent="0.35">
      <c r="B6" s="3">
        <v>2</v>
      </c>
      <c r="C6" s="3" t="s">
        <v>15</v>
      </c>
      <c r="D6" s="3" t="s">
        <v>16</v>
      </c>
      <c r="E6" s="6" t="s">
        <v>17</v>
      </c>
      <c r="F6" s="7" t="s">
        <v>18</v>
      </c>
      <c r="G6" s="4" t="s">
        <v>13</v>
      </c>
      <c r="H6" s="5" t="s">
        <v>14</v>
      </c>
      <c r="I6" s="5" t="s">
        <v>14</v>
      </c>
    </row>
    <row r="7" spans="2:9" x14ac:dyDescent="0.35">
      <c r="B7" s="3">
        <v>3</v>
      </c>
      <c r="C7" s="3" t="s">
        <v>19</v>
      </c>
      <c r="D7" s="3" t="s">
        <v>20</v>
      </c>
      <c r="E7" s="3" t="s">
        <v>21</v>
      </c>
      <c r="F7" s="3" t="s">
        <v>22</v>
      </c>
      <c r="G7" s="4" t="s">
        <v>13</v>
      </c>
      <c r="H7" s="4" t="s">
        <v>13</v>
      </c>
      <c r="I7" s="5" t="s">
        <v>14</v>
      </c>
    </row>
    <row r="8" spans="2:9" x14ac:dyDescent="0.35">
      <c r="B8" s="3">
        <v>4</v>
      </c>
      <c r="C8" s="3" t="s">
        <v>23</v>
      </c>
      <c r="D8" s="3" t="s">
        <v>24</v>
      </c>
      <c r="E8" s="3" t="s">
        <v>25</v>
      </c>
      <c r="F8" s="3" t="s">
        <v>26</v>
      </c>
      <c r="G8" s="4" t="s">
        <v>13</v>
      </c>
      <c r="H8" s="4" t="s">
        <v>13</v>
      </c>
      <c r="I8" s="5" t="s">
        <v>14</v>
      </c>
    </row>
    <row r="9" spans="2:9" x14ac:dyDescent="0.35">
      <c r="B9" s="3">
        <v>5</v>
      </c>
      <c r="C9" s="3" t="s">
        <v>27</v>
      </c>
      <c r="D9" s="3" t="s">
        <v>28</v>
      </c>
      <c r="E9" s="3" t="s">
        <v>29</v>
      </c>
      <c r="F9" s="3" t="s">
        <v>30</v>
      </c>
      <c r="G9" s="4" t="s">
        <v>13</v>
      </c>
      <c r="H9" s="4" t="s">
        <v>13</v>
      </c>
      <c r="I9" s="5" t="s">
        <v>14</v>
      </c>
    </row>
    <row r="10" spans="2:9" x14ac:dyDescent="0.35">
      <c r="B10" s="3">
        <v>6</v>
      </c>
      <c r="C10" s="3" t="s">
        <v>31</v>
      </c>
      <c r="D10" s="3" t="s">
        <v>32</v>
      </c>
      <c r="E10" s="3" t="s">
        <v>11</v>
      </c>
      <c r="F10" s="3" t="s">
        <v>33</v>
      </c>
      <c r="G10" s="4" t="s">
        <v>13</v>
      </c>
      <c r="H10" s="5" t="s">
        <v>14</v>
      </c>
      <c r="I10" s="5" t="s">
        <v>14</v>
      </c>
    </row>
    <row r="11" spans="2:9" x14ac:dyDescent="0.35">
      <c r="B11" s="3">
        <v>7</v>
      </c>
      <c r="C11" s="3" t="s">
        <v>34</v>
      </c>
      <c r="D11" s="3" t="s">
        <v>35</v>
      </c>
      <c r="E11" s="3" t="s">
        <v>36</v>
      </c>
      <c r="F11" s="3" t="s">
        <v>37</v>
      </c>
      <c r="G11" s="4" t="s">
        <v>13</v>
      </c>
      <c r="H11" s="4" t="s">
        <v>13</v>
      </c>
      <c r="I11" s="5" t="s">
        <v>14</v>
      </c>
    </row>
    <row r="12" spans="2:9" x14ac:dyDescent="0.35">
      <c r="B12" s="3">
        <v>8</v>
      </c>
      <c r="C12" s="3" t="s">
        <v>38</v>
      </c>
      <c r="D12" s="3" t="s">
        <v>39</v>
      </c>
      <c r="E12" s="3" t="s">
        <v>11</v>
      </c>
      <c r="F12" s="3" t="s">
        <v>33</v>
      </c>
      <c r="G12" s="4" t="s">
        <v>13</v>
      </c>
      <c r="H12" s="5" t="s">
        <v>14</v>
      </c>
      <c r="I12" s="5" t="s">
        <v>14</v>
      </c>
    </row>
    <row r="13" spans="2:9" x14ac:dyDescent="0.35">
      <c r="B13" s="3">
        <v>9</v>
      </c>
      <c r="C13" s="3" t="s">
        <v>40</v>
      </c>
      <c r="D13" s="3" t="s">
        <v>41</v>
      </c>
      <c r="E13" s="3" t="s">
        <v>25</v>
      </c>
      <c r="F13" s="3" t="s">
        <v>42</v>
      </c>
      <c r="G13" s="4" t="s">
        <v>13</v>
      </c>
      <c r="H13" s="5" t="s">
        <v>14</v>
      </c>
      <c r="I13" s="5" t="s">
        <v>14</v>
      </c>
    </row>
    <row r="14" spans="2:9" x14ac:dyDescent="0.35">
      <c r="B14" s="3">
        <v>10</v>
      </c>
      <c r="C14" s="3" t="s">
        <v>43</v>
      </c>
      <c r="D14" s="3" t="s">
        <v>44</v>
      </c>
      <c r="E14" s="3" t="s">
        <v>21</v>
      </c>
      <c r="F14" s="3" t="s">
        <v>45</v>
      </c>
      <c r="G14" s="4" t="s">
        <v>13</v>
      </c>
      <c r="H14" s="4" t="s">
        <v>13</v>
      </c>
      <c r="I14" s="5" t="s">
        <v>14</v>
      </c>
    </row>
    <row r="15" spans="2:9" x14ac:dyDescent="0.35">
      <c r="B15" s="3">
        <v>11</v>
      </c>
      <c r="C15" s="3" t="s">
        <v>46</v>
      </c>
      <c r="D15" s="3" t="s">
        <v>47</v>
      </c>
      <c r="E15" s="3" t="s">
        <v>48</v>
      </c>
      <c r="F15" s="3" t="s">
        <v>49</v>
      </c>
      <c r="G15" s="4" t="s">
        <v>13</v>
      </c>
      <c r="H15" s="5" t="s">
        <v>14</v>
      </c>
      <c r="I15" s="5" t="s">
        <v>14</v>
      </c>
    </row>
    <row r="16" spans="2:9" x14ac:dyDescent="0.35">
      <c r="B16" s="3">
        <v>12</v>
      </c>
      <c r="C16" s="3" t="s">
        <v>50</v>
      </c>
      <c r="D16" s="3" t="s">
        <v>51</v>
      </c>
      <c r="E16" s="3" t="s">
        <v>29</v>
      </c>
      <c r="F16" s="3" t="s">
        <v>52</v>
      </c>
      <c r="G16" s="4" t="s">
        <v>13</v>
      </c>
      <c r="H16" s="5" t="s">
        <v>14</v>
      </c>
      <c r="I16" s="5" t="s">
        <v>14</v>
      </c>
    </row>
    <row r="17" spans="2:10" x14ac:dyDescent="0.35">
      <c r="B17" s="3">
        <v>13</v>
      </c>
      <c r="C17" s="3" t="s">
        <v>53</v>
      </c>
      <c r="D17" s="3" t="s">
        <v>54</v>
      </c>
      <c r="E17" s="3" t="s">
        <v>55</v>
      </c>
      <c r="F17" s="3" t="s">
        <v>56</v>
      </c>
      <c r="G17" s="4" t="s">
        <v>13</v>
      </c>
      <c r="H17" s="5" t="s">
        <v>14</v>
      </c>
      <c r="I17" s="4" t="s">
        <v>13</v>
      </c>
    </row>
    <row r="18" spans="2:10" x14ac:dyDescent="0.35">
      <c r="B18" s="3">
        <v>14</v>
      </c>
      <c r="C18" s="3" t="s">
        <v>57</v>
      </c>
      <c r="D18" s="3" t="s">
        <v>58</v>
      </c>
      <c r="E18" s="3" t="s">
        <v>55</v>
      </c>
      <c r="F18" s="3" t="s">
        <v>59</v>
      </c>
      <c r="G18" s="4" t="s">
        <v>13</v>
      </c>
      <c r="H18" s="4" t="s">
        <v>13</v>
      </c>
      <c r="I18" s="5" t="s">
        <v>14</v>
      </c>
    </row>
    <row r="19" spans="2:10" x14ac:dyDescent="0.35">
      <c r="B19" s="3">
        <v>15</v>
      </c>
      <c r="C19" s="3" t="s">
        <v>60</v>
      </c>
      <c r="D19" s="3" t="s">
        <v>61</v>
      </c>
      <c r="E19" s="3" t="s">
        <v>36</v>
      </c>
      <c r="F19" s="3" t="s">
        <v>37</v>
      </c>
      <c r="G19" s="4" t="s">
        <v>13</v>
      </c>
      <c r="H19" s="4" t="s">
        <v>13</v>
      </c>
      <c r="I19" s="5" t="s">
        <v>14</v>
      </c>
    </row>
    <row r="20" spans="2:10" x14ac:dyDescent="0.35">
      <c r="B20" s="3">
        <v>16</v>
      </c>
      <c r="C20" s="3" t="s">
        <v>62</v>
      </c>
      <c r="D20" s="3" t="s">
        <v>63</v>
      </c>
      <c r="E20" s="3"/>
      <c r="F20" s="3"/>
      <c r="G20" s="4" t="s">
        <v>13</v>
      </c>
      <c r="H20" s="5" t="s">
        <v>14</v>
      </c>
      <c r="I20" s="5" t="s">
        <v>14</v>
      </c>
    </row>
    <row r="21" spans="2:10" x14ac:dyDescent="0.35">
      <c r="B21" s="3">
        <v>17</v>
      </c>
      <c r="C21" s="3"/>
      <c r="D21" s="3" t="s">
        <v>64</v>
      </c>
      <c r="E21" s="3"/>
      <c r="F21" s="3"/>
      <c r="G21" s="4" t="s">
        <v>13</v>
      </c>
      <c r="H21" s="5" t="s">
        <v>14</v>
      </c>
      <c r="I21" s="5" t="s">
        <v>14</v>
      </c>
    </row>
    <row r="22" spans="2:10" x14ac:dyDescent="0.35">
      <c r="B22" s="3">
        <v>18</v>
      </c>
      <c r="C22" s="3" t="s">
        <v>65</v>
      </c>
      <c r="D22" s="3" t="s">
        <v>66</v>
      </c>
      <c r="E22" s="3" t="s">
        <v>11</v>
      </c>
      <c r="F22" s="3" t="s">
        <v>33</v>
      </c>
      <c r="G22" s="5" t="s">
        <v>14</v>
      </c>
      <c r="H22" s="5" t="s">
        <v>14</v>
      </c>
      <c r="I22" s="5" t="s">
        <v>14</v>
      </c>
      <c r="J22" s="8" t="s">
        <v>67</v>
      </c>
    </row>
    <row r="23" spans="2:10" x14ac:dyDescent="0.35">
      <c r="B23" s="3">
        <v>19</v>
      </c>
      <c r="C23" s="3" t="s">
        <v>68</v>
      </c>
      <c r="D23" s="3" t="s">
        <v>69</v>
      </c>
      <c r="E23" s="3" t="s">
        <v>36</v>
      </c>
      <c r="F23" s="3" t="s">
        <v>70</v>
      </c>
      <c r="G23" s="4" t="s">
        <v>13</v>
      </c>
      <c r="H23" s="5" t="s">
        <v>14</v>
      </c>
      <c r="I23" s="4" t="s">
        <v>13</v>
      </c>
    </row>
    <row r="24" spans="2:10" x14ac:dyDescent="0.35">
      <c r="B24" s="3">
        <v>20</v>
      </c>
      <c r="C24" s="3" t="s">
        <v>71</v>
      </c>
      <c r="D24" s="3" t="s">
        <v>72</v>
      </c>
      <c r="E24" s="3" t="s">
        <v>36</v>
      </c>
      <c r="F24" s="3" t="s">
        <v>73</v>
      </c>
      <c r="G24" s="4" t="s">
        <v>13</v>
      </c>
      <c r="H24" s="4" t="s">
        <v>13</v>
      </c>
      <c r="I24" s="5" t="s">
        <v>14</v>
      </c>
    </row>
    <row r="25" spans="2:10" x14ac:dyDescent="0.35">
      <c r="B25" s="3">
        <v>21</v>
      </c>
      <c r="C25" s="3" t="s">
        <v>74</v>
      </c>
      <c r="D25" s="3" t="s">
        <v>75</v>
      </c>
      <c r="E25" s="3" t="s">
        <v>25</v>
      </c>
      <c r="F25" s="3" t="s">
        <v>76</v>
      </c>
      <c r="G25" s="4" t="s">
        <v>13</v>
      </c>
      <c r="H25" s="4" t="s">
        <v>13</v>
      </c>
      <c r="I25" s="4" t="s">
        <v>13</v>
      </c>
      <c r="J25" s="9">
        <v>2017</v>
      </c>
    </row>
    <row r="26" spans="2:10" x14ac:dyDescent="0.35">
      <c r="B26" s="3">
        <v>22</v>
      </c>
      <c r="C26" s="3" t="s">
        <v>77</v>
      </c>
      <c r="D26" s="3" t="s">
        <v>78</v>
      </c>
      <c r="E26" s="3" t="s">
        <v>36</v>
      </c>
      <c r="F26" s="3" t="s">
        <v>79</v>
      </c>
      <c r="G26" s="4" t="s">
        <v>13</v>
      </c>
      <c r="H26" s="5" t="s">
        <v>14</v>
      </c>
      <c r="I26" s="5" t="s">
        <v>14</v>
      </c>
    </row>
    <row r="27" spans="2:10" x14ac:dyDescent="0.35">
      <c r="B27" s="3">
        <v>23</v>
      </c>
      <c r="C27" s="3" t="s">
        <v>80</v>
      </c>
      <c r="D27" s="3" t="s">
        <v>81</v>
      </c>
      <c r="E27" s="3" t="s">
        <v>21</v>
      </c>
      <c r="F27" s="3" t="s">
        <v>82</v>
      </c>
      <c r="G27" s="4" t="s">
        <v>13</v>
      </c>
      <c r="H27" s="4" t="s">
        <v>13</v>
      </c>
      <c r="I27" s="5" t="s">
        <v>14</v>
      </c>
    </row>
    <row r="28" spans="2:10" x14ac:dyDescent="0.35">
      <c r="B28" s="3">
        <v>24</v>
      </c>
      <c r="C28" s="3" t="s">
        <v>83</v>
      </c>
      <c r="D28" s="3" t="s">
        <v>84</v>
      </c>
      <c r="E28" s="3" t="s">
        <v>48</v>
      </c>
      <c r="F28" s="3" t="s">
        <v>85</v>
      </c>
      <c r="G28" s="4" t="s">
        <v>13</v>
      </c>
      <c r="H28" s="5" t="s">
        <v>14</v>
      </c>
      <c r="I28" s="5" t="s">
        <v>14</v>
      </c>
    </row>
    <row r="29" spans="2:10" x14ac:dyDescent="0.35">
      <c r="B29" s="3">
        <v>25</v>
      </c>
      <c r="C29" s="3"/>
      <c r="D29" s="3" t="s">
        <v>86</v>
      </c>
      <c r="E29" s="3"/>
      <c r="F29" s="3"/>
      <c r="G29" s="5" t="s">
        <v>14</v>
      </c>
      <c r="H29" s="5" t="s">
        <v>14</v>
      </c>
      <c r="I29" s="4" t="s">
        <v>13</v>
      </c>
      <c r="J29" s="8" t="s">
        <v>87</v>
      </c>
    </row>
    <row r="30" spans="2:10" x14ac:dyDescent="0.35">
      <c r="B30" s="3">
        <v>26</v>
      </c>
      <c r="C30" s="3"/>
      <c r="D30" s="3" t="s">
        <v>88</v>
      </c>
      <c r="E30" s="3"/>
      <c r="F30" s="3"/>
      <c r="G30" s="5" t="s">
        <v>14</v>
      </c>
      <c r="H30" s="4" t="s">
        <v>13</v>
      </c>
      <c r="I30" s="4" t="s">
        <v>13</v>
      </c>
      <c r="J30" s="10" t="s">
        <v>89</v>
      </c>
    </row>
    <row r="31" spans="2:10" x14ac:dyDescent="0.35">
      <c r="B31" s="3">
        <v>27</v>
      </c>
      <c r="C31" s="3" t="s">
        <v>90</v>
      </c>
      <c r="D31" s="3" t="s">
        <v>91</v>
      </c>
      <c r="E31" s="3" t="s">
        <v>92</v>
      </c>
      <c r="F31" s="3" t="s">
        <v>93</v>
      </c>
      <c r="G31" s="4" t="s">
        <v>13</v>
      </c>
      <c r="H31" s="4" t="s">
        <v>13</v>
      </c>
      <c r="I31" s="5" t="s">
        <v>14</v>
      </c>
    </row>
    <row r="32" spans="2:10" x14ac:dyDescent="0.35">
      <c r="B32" s="3">
        <v>28</v>
      </c>
      <c r="C32" s="3" t="s">
        <v>94</v>
      </c>
      <c r="D32" s="3" t="s">
        <v>95</v>
      </c>
      <c r="E32" s="3" t="s">
        <v>48</v>
      </c>
      <c r="F32" s="3" t="s">
        <v>85</v>
      </c>
      <c r="G32" s="4" t="s">
        <v>13</v>
      </c>
      <c r="H32" s="5" t="s">
        <v>14</v>
      </c>
      <c r="I32" s="5" t="s">
        <v>14</v>
      </c>
    </row>
    <row r="33" spans="2:9" x14ac:dyDescent="0.35">
      <c r="B33" s="3">
        <v>29</v>
      </c>
      <c r="C33" s="3" t="s">
        <v>96</v>
      </c>
      <c r="D33" s="3" t="s">
        <v>97</v>
      </c>
      <c r="E33" s="3" t="s">
        <v>36</v>
      </c>
      <c r="F33" s="3" t="s">
        <v>98</v>
      </c>
      <c r="G33" s="4" t="s">
        <v>13</v>
      </c>
      <c r="H33" s="4" t="s">
        <v>13</v>
      </c>
      <c r="I33" s="5" t="s">
        <v>14</v>
      </c>
    </row>
    <row r="34" spans="2:9" x14ac:dyDescent="0.35">
      <c r="B34" s="3">
        <v>30</v>
      </c>
      <c r="C34" s="3" t="s">
        <v>99</v>
      </c>
      <c r="D34" s="3" t="s">
        <v>100</v>
      </c>
      <c r="E34" s="3" t="s">
        <v>21</v>
      </c>
      <c r="F34" s="3" t="s">
        <v>45</v>
      </c>
      <c r="G34" s="4" t="s">
        <v>13</v>
      </c>
      <c r="H34" s="4" t="s">
        <v>13</v>
      </c>
      <c r="I34" s="5" t="s">
        <v>14</v>
      </c>
    </row>
    <row r="35" spans="2:9" x14ac:dyDescent="0.35">
      <c r="B35" s="3">
        <v>31</v>
      </c>
      <c r="C35" s="3" t="s">
        <v>101</v>
      </c>
      <c r="D35" s="3" t="s">
        <v>102</v>
      </c>
      <c r="E35" s="3" t="s">
        <v>48</v>
      </c>
      <c r="F35" s="3" t="s">
        <v>85</v>
      </c>
      <c r="G35" s="4" t="s">
        <v>13</v>
      </c>
      <c r="H35" s="4" t="s">
        <v>13</v>
      </c>
      <c r="I35" s="5" t="s">
        <v>14</v>
      </c>
    </row>
    <row r="36" spans="2:9" x14ac:dyDescent="0.35">
      <c r="C36" s="11" t="s">
        <v>103</v>
      </c>
    </row>
    <row r="37" spans="2:9" x14ac:dyDescent="0.35">
      <c r="C37" s="12" t="s">
        <v>14</v>
      </c>
      <c r="D37" s="1" t="s">
        <v>104</v>
      </c>
    </row>
    <row r="40" spans="2:9" x14ac:dyDescent="0.35">
      <c r="D40" s="13" t="s">
        <v>105</v>
      </c>
    </row>
  </sheetData>
  <mergeCells count="6">
    <mergeCell ref="G3:I3"/>
    <mergeCell ref="B3:B4"/>
    <mergeCell ref="C3:C4"/>
    <mergeCell ref="D3:D4"/>
    <mergeCell ref="E3:E4"/>
    <mergeCell ref="F3:F4"/>
  </mergeCells>
  <hyperlinks>
    <hyperlink ref="D40" r:id="rId1" xr:uid="{3352844B-6A79-495F-8DDE-E14D337F98F4}"/>
  </hyperlinks>
  <pageMargins left="0.7" right="0.7" top="0.75" bottom="0.75" header="0.3" footer="0.3"/>
  <pageSetup orientation="portrait" horizontalDpi="360" verticalDpi="36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F80B-9BFE-4B90-8646-7EE0D595EDF3}">
  <dimension ref="A1:Q33"/>
  <sheetViews>
    <sheetView tabSelected="1" zoomScale="59" workbookViewId="0">
      <selection activeCell="L19" sqref="L19"/>
    </sheetView>
  </sheetViews>
  <sheetFormatPr defaultRowHeight="14.5" x14ac:dyDescent="0.35"/>
  <cols>
    <col min="2" max="2" width="45.6328125" bestFit="1" customWidth="1"/>
    <col min="3" max="3" width="16.08984375" customWidth="1"/>
    <col min="4" max="4" width="24.26953125" bestFit="1" customWidth="1"/>
    <col min="5" max="5" width="39.08984375" bestFit="1" customWidth="1"/>
    <col min="6" max="9" width="39.08984375" customWidth="1"/>
    <col min="10" max="10" width="36.90625" bestFit="1" customWidth="1"/>
    <col min="11" max="12" width="36.90625" customWidth="1"/>
    <col min="13" max="13" width="30" bestFit="1" customWidth="1"/>
    <col min="14" max="14" width="28.6328125" bestFit="1" customWidth="1"/>
    <col min="15" max="15" width="23.81640625" bestFit="1" customWidth="1"/>
    <col min="16" max="16" width="23.81640625" customWidth="1"/>
    <col min="17" max="17" width="25.54296875" bestFit="1" customWidth="1"/>
  </cols>
  <sheetData>
    <row r="1" spans="1:17" x14ac:dyDescent="0.35">
      <c r="A1" s="34"/>
      <c r="B1" s="34"/>
      <c r="C1" s="34"/>
      <c r="D1" s="34"/>
      <c r="E1" s="34"/>
      <c r="F1" s="34"/>
      <c r="G1" s="34"/>
      <c r="H1" s="34"/>
      <c r="I1" s="34"/>
      <c r="J1" s="35" t="s">
        <v>115</v>
      </c>
      <c r="K1" s="35"/>
      <c r="L1" s="35"/>
      <c r="M1" s="34"/>
      <c r="N1" s="34"/>
      <c r="O1" s="34"/>
      <c r="P1" s="34"/>
      <c r="Q1" s="34"/>
    </row>
    <row r="2" spans="1:17" ht="15.5" x14ac:dyDescent="0.35">
      <c r="A2" s="36" t="s">
        <v>108</v>
      </c>
      <c r="B2" s="36" t="s">
        <v>2</v>
      </c>
      <c r="C2" s="36" t="s">
        <v>107</v>
      </c>
      <c r="D2" s="36" t="s">
        <v>112</v>
      </c>
      <c r="E2" s="36" t="s">
        <v>120</v>
      </c>
      <c r="F2" s="36" t="s">
        <v>116</v>
      </c>
      <c r="G2" s="36" t="s">
        <v>118</v>
      </c>
      <c r="H2" s="36" t="s">
        <v>119</v>
      </c>
      <c r="I2" s="36" t="s">
        <v>117</v>
      </c>
      <c r="J2" s="36">
        <v>2019</v>
      </c>
      <c r="K2" s="36">
        <v>2020</v>
      </c>
      <c r="L2" s="36">
        <v>2021</v>
      </c>
      <c r="M2" s="37" t="s">
        <v>109</v>
      </c>
      <c r="N2" s="38" t="s">
        <v>110</v>
      </c>
      <c r="O2" s="38" t="s">
        <v>113</v>
      </c>
      <c r="P2" s="38" t="s">
        <v>114</v>
      </c>
      <c r="Q2" s="38" t="s">
        <v>111</v>
      </c>
    </row>
    <row r="3" spans="1:17" ht="15.5" x14ac:dyDescent="0.35">
      <c r="A3" s="36">
        <v>1</v>
      </c>
      <c r="B3" s="39" t="s">
        <v>10</v>
      </c>
      <c r="C3" s="39" t="s">
        <v>9</v>
      </c>
      <c r="D3" s="40">
        <v>7942432500</v>
      </c>
      <c r="E3" s="40">
        <v>46356300</v>
      </c>
      <c r="F3" s="40">
        <v>4300</v>
      </c>
      <c r="G3" s="40">
        <v>947540000</v>
      </c>
      <c r="H3" s="40">
        <v>2179873</v>
      </c>
      <c r="I3" s="40">
        <v>10856250</v>
      </c>
      <c r="J3" s="40">
        <v>573000</v>
      </c>
      <c r="K3" s="40">
        <v>52521000</v>
      </c>
      <c r="L3" s="40"/>
      <c r="M3" s="36">
        <f>D3</f>
        <v>7942432500</v>
      </c>
      <c r="N3" s="36">
        <f>E3</f>
        <v>46356300</v>
      </c>
      <c r="O3" s="36">
        <f>SUM(((F3*I3)+G3)/H3)</f>
        <v>21849.628395782689</v>
      </c>
      <c r="P3" s="36">
        <f>AVERAGE(J3:L3)</f>
        <v>26547000</v>
      </c>
      <c r="Q3" s="36"/>
    </row>
    <row r="4" spans="1:17" ht="15.5" x14ac:dyDescent="0.35">
      <c r="A4" s="36">
        <v>2</v>
      </c>
      <c r="B4" s="39" t="s">
        <v>16</v>
      </c>
      <c r="C4" s="39" t="s">
        <v>15</v>
      </c>
      <c r="D4" s="33">
        <v>25410160400</v>
      </c>
      <c r="E4" s="40">
        <v>156400</v>
      </c>
      <c r="F4" s="33">
        <v>74</v>
      </c>
      <c r="G4" s="33">
        <v>735775184</v>
      </c>
      <c r="H4" s="33">
        <v>397415973</v>
      </c>
      <c r="I4" s="33">
        <v>28233511.5</v>
      </c>
      <c r="J4" s="41"/>
      <c r="K4" s="41"/>
      <c r="L4" s="41"/>
      <c r="M4" s="36">
        <f t="shared" ref="M4:M33" si="0">D4</f>
        <v>25410160400</v>
      </c>
      <c r="N4" s="36">
        <f t="shared" ref="N4:N33" si="1">E4</f>
        <v>156400</v>
      </c>
      <c r="O4" s="36">
        <f t="shared" ref="O4:O33" si="2">SUM(((F4*I4)+G4)/H4)</f>
        <v>7.1085593607985151</v>
      </c>
      <c r="P4" s="36" t="e">
        <f t="shared" ref="P4:P33" si="3">AVERAGE(J4:L4)</f>
        <v>#DIV/0!</v>
      </c>
      <c r="Q4" s="36"/>
    </row>
    <row r="5" spans="1:17" ht="15.5" x14ac:dyDescent="0.35">
      <c r="A5" s="36">
        <v>3</v>
      </c>
      <c r="B5" s="39" t="s">
        <v>20</v>
      </c>
      <c r="C5" s="39" t="s">
        <v>19</v>
      </c>
      <c r="D5" s="33">
        <v>476910860</v>
      </c>
      <c r="E5" s="33">
        <v>79524650</v>
      </c>
      <c r="F5" s="33">
        <v>1110</v>
      </c>
      <c r="G5" s="33">
        <v>1034464891</v>
      </c>
      <c r="H5" s="42">
        <v>1806280.9650000001</v>
      </c>
      <c r="I5" s="33">
        <v>283573.49</v>
      </c>
      <c r="J5" s="33">
        <v>1105420.1969999999</v>
      </c>
      <c r="K5" s="33">
        <v>980556.65300000005</v>
      </c>
      <c r="L5" s="33">
        <v>1051444.3419999999</v>
      </c>
      <c r="M5" s="36">
        <f t="shared" si="0"/>
        <v>476910860</v>
      </c>
      <c r="N5" s="36">
        <f t="shared" si="1"/>
        <v>79524650</v>
      </c>
      <c r="O5" s="36">
        <f t="shared" si="2"/>
        <v>746.9665522938177</v>
      </c>
      <c r="P5" s="36">
        <f t="shared" si="3"/>
        <v>1045807.0639999999</v>
      </c>
      <c r="Q5" s="36"/>
    </row>
    <row r="6" spans="1:17" ht="15.5" x14ac:dyDescent="0.35">
      <c r="A6" s="36">
        <v>4</v>
      </c>
      <c r="B6" s="39" t="s">
        <v>24</v>
      </c>
      <c r="C6" s="39" t="s">
        <v>23</v>
      </c>
      <c r="D6" s="40">
        <v>3096271110</v>
      </c>
      <c r="E6" s="33">
        <v>179757355</v>
      </c>
      <c r="F6" s="33">
        <v>1075</v>
      </c>
      <c r="G6" s="33">
        <v>335000000</v>
      </c>
      <c r="H6" s="33">
        <v>1080000</v>
      </c>
      <c r="I6" s="33">
        <v>3800000.31</v>
      </c>
      <c r="J6" s="33">
        <v>361545000</v>
      </c>
      <c r="K6" s="33">
        <v>565440000</v>
      </c>
      <c r="L6" s="33">
        <v>1193506000</v>
      </c>
      <c r="M6" s="36">
        <f t="shared" si="0"/>
        <v>3096271110</v>
      </c>
      <c r="N6" s="36">
        <f t="shared" si="1"/>
        <v>179757355</v>
      </c>
      <c r="O6" s="36">
        <f t="shared" si="2"/>
        <v>4092.5929011574076</v>
      </c>
      <c r="P6" s="36">
        <f t="shared" si="3"/>
        <v>706830333.33333337</v>
      </c>
      <c r="Q6" s="36"/>
    </row>
    <row r="7" spans="1:17" ht="15.5" x14ac:dyDescent="0.35">
      <c r="A7" s="36">
        <v>5</v>
      </c>
      <c r="B7" s="39" t="s">
        <v>28</v>
      </c>
      <c r="C7" s="39" t="s">
        <v>27</v>
      </c>
      <c r="D7" s="41"/>
      <c r="E7" s="41"/>
      <c r="F7" s="33">
        <v>151</v>
      </c>
      <c r="G7" s="33">
        <v>112632896.02599999</v>
      </c>
      <c r="H7" s="33">
        <v>161000</v>
      </c>
      <c r="I7" s="33">
        <v>50000000</v>
      </c>
      <c r="J7" s="33">
        <v>89349200.730000004</v>
      </c>
      <c r="K7" s="33">
        <v>82895100.001000002</v>
      </c>
      <c r="L7" s="33">
        <v>198000000</v>
      </c>
      <c r="M7" s="36">
        <f t="shared" si="0"/>
        <v>0</v>
      </c>
      <c r="N7" s="36">
        <f t="shared" si="1"/>
        <v>0</v>
      </c>
      <c r="O7" s="36">
        <f t="shared" si="2"/>
        <v>47593.993143018633</v>
      </c>
      <c r="P7" s="36">
        <f t="shared" si="3"/>
        <v>123414766.91033334</v>
      </c>
      <c r="Q7" s="36"/>
    </row>
    <row r="8" spans="1:17" ht="15.5" x14ac:dyDescent="0.35">
      <c r="A8" s="36">
        <v>6</v>
      </c>
      <c r="B8" s="39" t="s">
        <v>32</v>
      </c>
      <c r="C8" s="39" t="s">
        <v>31</v>
      </c>
      <c r="D8" s="40">
        <v>1097012639</v>
      </c>
      <c r="E8" s="40">
        <v>0</v>
      </c>
      <c r="F8" s="33">
        <v>54</v>
      </c>
      <c r="G8" s="33">
        <v>1110000</v>
      </c>
      <c r="H8" s="33">
        <v>592000</v>
      </c>
      <c r="I8" s="33">
        <v>455196374.69999999</v>
      </c>
      <c r="J8" s="33">
        <v>186570000</v>
      </c>
      <c r="K8" s="33">
        <v>35712000</v>
      </c>
      <c r="L8" s="33">
        <v>21437000</v>
      </c>
      <c r="M8" s="36">
        <f t="shared" si="0"/>
        <v>1097012639</v>
      </c>
      <c r="N8" s="36">
        <f t="shared" si="1"/>
        <v>0</v>
      </c>
      <c r="O8" s="36">
        <f t="shared" si="2"/>
        <v>41523.165935472971</v>
      </c>
      <c r="P8" s="36">
        <f t="shared" si="3"/>
        <v>81239666.666666672</v>
      </c>
      <c r="Q8" s="36"/>
    </row>
    <row r="9" spans="1:17" ht="15.5" x14ac:dyDescent="0.35">
      <c r="A9" s="36">
        <v>7</v>
      </c>
      <c r="B9" s="39" t="s">
        <v>35</v>
      </c>
      <c r="C9" s="39" t="s">
        <v>34</v>
      </c>
      <c r="D9" s="40">
        <v>5460497634</v>
      </c>
      <c r="E9" s="40">
        <v>0</v>
      </c>
      <c r="F9" s="40">
        <v>96</v>
      </c>
      <c r="G9" s="40">
        <v>906000</v>
      </c>
      <c r="H9" s="40">
        <v>3515000</v>
      </c>
      <c r="I9" s="40">
        <v>18208470.100000001</v>
      </c>
      <c r="J9" s="33">
        <v>11090000000</v>
      </c>
      <c r="K9" s="33">
        <v>11334000000</v>
      </c>
      <c r="L9" s="40">
        <v>12675000000</v>
      </c>
      <c r="M9" s="36">
        <f t="shared" si="0"/>
        <v>5460497634</v>
      </c>
      <c r="N9" s="36">
        <f t="shared" si="1"/>
        <v>0</v>
      </c>
      <c r="O9" s="36" t="e">
        <f>SUM(((#REF!*I9)+#REF!)/H9)</f>
        <v>#REF!</v>
      </c>
      <c r="P9" s="36">
        <f t="shared" si="3"/>
        <v>11699666666.666666</v>
      </c>
      <c r="Q9" s="36"/>
    </row>
    <row r="10" spans="1:17" ht="15.5" x14ac:dyDescent="0.35">
      <c r="A10" s="36">
        <v>8</v>
      </c>
      <c r="B10" s="39" t="s">
        <v>39</v>
      </c>
      <c r="C10" s="39" t="s">
        <v>38</v>
      </c>
      <c r="D10" s="40">
        <v>1168959300</v>
      </c>
      <c r="E10" s="40">
        <v>3263000</v>
      </c>
      <c r="F10" s="40">
        <v>115</v>
      </c>
      <c r="G10" s="40">
        <v>4296566.2970000003</v>
      </c>
      <c r="H10" s="40">
        <v>153713.575228</v>
      </c>
      <c r="I10" s="40">
        <v>1105000</v>
      </c>
      <c r="J10" s="40">
        <v>10290129.664000001</v>
      </c>
      <c r="K10" s="40">
        <v>10272811.226</v>
      </c>
      <c r="L10" s="40">
        <v>15671135.733999999</v>
      </c>
      <c r="M10" s="36">
        <f t="shared" si="0"/>
        <v>1168959300</v>
      </c>
      <c r="N10" s="36">
        <f t="shared" si="1"/>
        <v>3263000</v>
      </c>
      <c r="O10" s="36">
        <f>SUM(((F9*I10)+G9)/H10)</f>
        <v>696.00879324620485</v>
      </c>
      <c r="P10" s="36">
        <f t="shared" si="3"/>
        <v>12078025.541333333</v>
      </c>
      <c r="Q10" s="36"/>
    </row>
    <row r="11" spans="1:17" ht="15.5" x14ac:dyDescent="0.35">
      <c r="A11" s="36">
        <v>9</v>
      </c>
      <c r="B11" s="39" t="s">
        <v>41</v>
      </c>
      <c r="C11" s="39" t="s">
        <v>40</v>
      </c>
      <c r="D11" s="40">
        <v>5177783579</v>
      </c>
      <c r="E11" s="33">
        <v>0</v>
      </c>
      <c r="F11" s="40">
        <v>464</v>
      </c>
      <c r="G11" s="40">
        <v>1175850</v>
      </c>
      <c r="H11" s="40">
        <v>2745330</v>
      </c>
      <c r="I11" s="40">
        <v>5566400</v>
      </c>
      <c r="J11" s="40">
        <v>327858</v>
      </c>
      <c r="K11" s="40">
        <v>340686</v>
      </c>
      <c r="L11" s="40">
        <v>307308</v>
      </c>
      <c r="M11" s="36">
        <f t="shared" si="0"/>
        <v>5177783579</v>
      </c>
      <c r="N11" s="36">
        <f t="shared" si="1"/>
        <v>0</v>
      </c>
      <c r="O11" s="36">
        <f t="shared" si="2"/>
        <v>941.22945146849372</v>
      </c>
      <c r="P11" s="36">
        <f t="shared" si="3"/>
        <v>325284</v>
      </c>
      <c r="Q11" s="36"/>
    </row>
    <row r="12" spans="1:17" ht="15.5" x14ac:dyDescent="0.35">
      <c r="A12" s="36">
        <v>10</v>
      </c>
      <c r="B12" s="39" t="s">
        <v>44</v>
      </c>
      <c r="C12" s="39" t="s">
        <v>43</v>
      </c>
      <c r="D12" s="40">
        <v>6429440000</v>
      </c>
      <c r="E12" s="33">
        <v>0</v>
      </c>
      <c r="F12" s="33">
        <v>312</v>
      </c>
      <c r="G12" s="33">
        <v>34436079.409999996</v>
      </c>
      <c r="H12" s="33">
        <v>202565173</v>
      </c>
      <c r="I12" s="33">
        <v>1607360</v>
      </c>
      <c r="J12" s="40">
        <v>14725581000</v>
      </c>
      <c r="K12" s="40">
        <v>58309722000</v>
      </c>
      <c r="L12" s="40">
        <v>62317451000</v>
      </c>
      <c r="M12" s="36">
        <f t="shared" si="0"/>
        <v>6429440000</v>
      </c>
      <c r="N12" s="36">
        <f t="shared" si="1"/>
        <v>0</v>
      </c>
      <c r="O12" s="36">
        <f t="shared" si="2"/>
        <v>2.6457282437687351</v>
      </c>
      <c r="P12" s="36">
        <f t="shared" si="3"/>
        <v>45117584666.666664</v>
      </c>
      <c r="Q12" s="36"/>
    </row>
    <row r="13" spans="1:17" ht="15.5" x14ac:dyDescent="0.35">
      <c r="A13" s="36">
        <v>11</v>
      </c>
      <c r="B13" s="39" t="s">
        <v>47</v>
      </c>
      <c r="C13" s="39" t="s">
        <v>46</v>
      </c>
      <c r="D13" s="40">
        <v>1046609000</v>
      </c>
      <c r="E13" s="33">
        <v>0</v>
      </c>
      <c r="F13" s="33">
        <v>151</v>
      </c>
      <c r="G13" s="33">
        <v>239159</v>
      </c>
      <c r="H13" s="33">
        <v>526136</v>
      </c>
      <c r="I13" s="33">
        <v>207000</v>
      </c>
      <c r="J13" s="40">
        <v>67879000</v>
      </c>
      <c r="K13" s="40">
        <v>85538000</v>
      </c>
      <c r="L13" s="40">
        <v>83521000</v>
      </c>
      <c r="M13" s="36">
        <f t="shared" si="0"/>
        <v>1046609000</v>
      </c>
      <c r="N13" s="36">
        <f t="shared" si="1"/>
        <v>0</v>
      </c>
      <c r="O13" s="36">
        <f t="shared" si="2"/>
        <v>59.863151352502015</v>
      </c>
      <c r="P13" s="36">
        <f t="shared" si="3"/>
        <v>78979333.333333328</v>
      </c>
      <c r="Q13" s="36"/>
    </row>
    <row r="14" spans="1:17" ht="15.5" x14ac:dyDescent="0.35">
      <c r="A14" s="36">
        <v>12</v>
      </c>
      <c r="B14" s="39" t="s">
        <v>51</v>
      </c>
      <c r="C14" s="39" t="s">
        <v>50</v>
      </c>
      <c r="D14" s="33">
        <v>6615735063</v>
      </c>
      <c r="E14" s="33">
        <v>21471351</v>
      </c>
      <c r="F14" s="33">
        <v>3170</v>
      </c>
      <c r="G14" s="33">
        <v>52665000</v>
      </c>
      <c r="H14" s="33">
        <v>72753000</v>
      </c>
      <c r="I14" s="41"/>
      <c r="J14" s="40">
        <v>25150000000</v>
      </c>
      <c r="K14" s="40">
        <v>26009100000</v>
      </c>
      <c r="L14" s="40">
        <v>26754100000</v>
      </c>
      <c r="M14" s="36">
        <f t="shared" si="0"/>
        <v>6615735063</v>
      </c>
      <c r="N14" s="36">
        <f t="shared" si="1"/>
        <v>21471351</v>
      </c>
      <c r="O14" s="36">
        <f t="shared" si="2"/>
        <v>0.72388767473506244</v>
      </c>
      <c r="P14" s="36">
        <f t="shared" si="3"/>
        <v>25971066666.666668</v>
      </c>
      <c r="Q14" s="36"/>
    </row>
    <row r="15" spans="1:17" ht="15.5" x14ac:dyDescent="0.35">
      <c r="A15" s="36">
        <v>13</v>
      </c>
      <c r="B15" s="39" t="s">
        <v>54</v>
      </c>
      <c r="C15" s="39" t="s">
        <v>53</v>
      </c>
      <c r="D15" s="40">
        <v>4841053951</v>
      </c>
      <c r="E15" s="40">
        <v>0</v>
      </c>
      <c r="F15" s="40">
        <v>1485</v>
      </c>
      <c r="G15" s="40">
        <v>9577564</v>
      </c>
      <c r="H15" s="40">
        <v>14517700</v>
      </c>
      <c r="I15" s="40">
        <v>7450000</v>
      </c>
      <c r="J15" s="40">
        <v>19341569000</v>
      </c>
      <c r="K15" s="40">
        <v>15215980000</v>
      </c>
      <c r="L15" s="41"/>
      <c r="M15" s="36">
        <f t="shared" si="0"/>
        <v>4841053951</v>
      </c>
      <c r="N15" s="36">
        <f t="shared" si="1"/>
        <v>0</v>
      </c>
      <c r="O15" s="36">
        <f t="shared" si="2"/>
        <v>762.71224532811675</v>
      </c>
      <c r="P15" s="36">
        <f t="shared" si="3"/>
        <v>17278774500</v>
      </c>
      <c r="Q15" s="36"/>
    </row>
    <row r="16" spans="1:17" ht="15.5" x14ac:dyDescent="0.35">
      <c r="A16" s="36">
        <v>14</v>
      </c>
      <c r="B16" s="39" t="s">
        <v>58</v>
      </c>
      <c r="C16" s="39" t="s">
        <v>57</v>
      </c>
      <c r="D16" s="40">
        <v>546054950</v>
      </c>
      <c r="E16" s="40">
        <v>531203000</v>
      </c>
      <c r="F16" s="40">
        <v>458</v>
      </c>
      <c r="G16" s="40">
        <v>186848</v>
      </c>
      <c r="H16" s="40">
        <v>494253</v>
      </c>
      <c r="I16" s="40">
        <v>1475363.179</v>
      </c>
      <c r="J16" s="40">
        <v>1221662000</v>
      </c>
      <c r="K16" s="40">
        <v>1069006000</v>
      </c>
      <c r="L16" s="40">
        <v>841151000</v>
      </c>
      <c r="M16" s="36">
        <f t="shared" si="0"/>
        <v>546054950</v>
      </c>
      <c r="N16" s="36">
        <f t="shared" si="1"/>
        <v>531203000</v>
      </c>
      <c r="O16" s="36">
        <f t="shared" si="2"/>
        <v>1367.5246968293566</v>
      </c>
      <c r="P16" s="36">
        <f t="shared" si="3"/>
        <v>1043939666.6666666</v>
      </c>
      <c r="Q16" s="36"/>
    </row>
    <row r="17" spans="1:17" ht="15.5" x14ac:dyDescent="0.35">
      <c r="A17" s="36">
        <v>15</v>
      </c>
      <c r="B17" s="39" t="s">
        <v>61</v>
      </c>
      <c r="C17" s="39" t="s">
        <v>60</v>
      </c>
      <c r="D17" s="33">
        <v>19600265957</v>
      </c>
      <c r="E17" s="33">
        <v>33457000</v>
      </c>
      <c r="F17" s="33">
        <v>50</v>
      </c>
      <c r="G17" s="33">
        <v>13920000</v>
      </c>
      <c r="H17" s="33">
        <v>15243000</v>
      </c>
      <c r="I17" s="33">
        <v>20863053.48</v>
      </c>
      <c r="J17" s="33">
        <v>3236000000</v>
      </c>
      <c r="K17" s="33">
        <v>2455000000</v>
      </c>
      <c r="L17" s="33">
        <v>2383000000</v>
      </c>
      <c r="M17" s="36">
        <f t="shared" si="0"/>
        <v>19600265957</v>
      </c>
      <c r="N17" s="36">
        <f t="shared" si="1"/>
        <v>33457000</v>
      </c>
      <c r="O17" s="36">
        <f t="shared" si="2"/>
        <v>69.348072820310961</v>
      </c>
      <c r="P17" s="36">
        <f t="shared" si="3"/>
        <v>2691333333.3333335</v>
      </c>
      <c r="Q17" s="36"/>
    </row>
    <row r="18" spans="1:17" ht="15.5" x14ac:dyDescent="0.35">
      <c r="A18" s="36">
        <v>16</v>
      </c>
      <c r="B18" s="39" t="s">
        <v>63</v>
      </c>
      <c r="C18" s="39" t="s">
        <v>62</v>
      </c>
      <c r="D18" s="33">
        <v>1042000</v>
      </c>
      <c r="E18" s="33">
        <v>0</v>
      </c>
      <c r="F18" s="41"/>
      <c r="G18" s="33">
        <v>12129000</v>
      </c>
      <c r="H18" s="33">
        <v>14178000</v>
      </c>
      <c r="I18" s="41"/>
      <c r="J18" s="33">
        <v>2415000000</v>
      </c>
      <c r="K18" s="33">
        <v>2383000000</v>
      </c>
      <c r="L18" s="33">
        <v>1931000000</v>
      </c>
      <c r="M18" s="36">
        <f t="shared" si="0"/>
        <v>1042000</v>
      </c>
      <c r="N18" s="36">
        <f t="shared" si="1"/>
        <v>0</v>
      </c>
      <c r="O18" s="36">
        <f t="shared" si="2"/>
        <v>0.85548032162505294</v>
      </c>
      <c r="P18" s="36">
        <f t="shared" si="3"/>
        <v>2243000000</v>
      </c>
      <c r="Q18" s="36"/>
    </row>
    <row r="19" spans="1:17" ht="15.5" x14ac:dyDescent="0.35">
      <c r="A19" s="36">
        <v>17</v>
      </c>
      <c r="B19" s="39" t="s">
        <v>64</v>
      </c>
      <c r="C19" s="39"/>
      <c r="D19" s="36">
        <v>1224475</v>
      </c>
      <c r="E19" s="39"/>
      <c r="F19" s="39"/>
      <c r="G19" s="36">
        <v>6145918</v>
      </c>
      <c r="H19" s="36">
        <v>7720180</v>
      </c>
      <c r="I19" s="39"/>
      <c r="J19" s="39">
        <v>1839122</v>
      </c>
      <c r="K19" s="39">
        <v>1774836</v>
      </c>
      <c r="L19" s="36">
        <v>1523177</v>
      </c>
      <c r="M19" s="36">
        <f t="shared" si="0"/>
        <v>1224475</v>
      </c>
      <c r="N19" s="36">
        <f t="shared" si="1"/>
        <v>0</v>
      </c>
      <c r="O19" s="36" t="e">
        <f>SUM(((F19*I19)+#REF!)/#REF!)</f>
        <v>#REF!</v>
      </c>
      <c r="P19" s="36">
        <f t="shared" si="3"/>
        <v>1712378.3333333333</v>
      </c>
      <c r="Q19" s="36"/>
    </row>
    <row r="20" spans="1:17" ht="15.5" x14ac:dyDescent="0.35">
      <c r="A20" s="36">
        <v>18</v>
      </c>
      <c r="B20" s="39" t="s">
        <v>66</v>
      </c>
      <c r="C20" s="39" t="s">
        <v>65</v>
      </c>
      <c r="D20" s="39">
        <v>15132115620</v>
      </c>
      <c r="E20" s="36">
        <v>455110380</v>
      </c>
      <c r="F20" s="36">
        <v>560</v>
      </c>
      <c r="G20" s="36">
        <v>8595000</v>
      </c>
      <c r="H20" s="36">
        <v>15201000</v>
      </c>
      <c r="I20" s="36">
        <v>15967000</v>
      </c>
      <c r="J20" s="36">
        <v>5018000</v>
      </c>
      <c r="K20" s="36">
        <v>5241</v>
      </c>
      <c r="L20" s="36">
        <v>4570</v>
      </c>
      <c r="M20" s="36">
        <f t="shared" si="0"/>
        <v>15132115620</v>
      </c>
      <c r="N20" s="36">
        <f t="shared" si="1"/>
        <v>455110380</v>
      </c>
      <c r="O20" s="36" t="e">
        <f>SUM(((#REF!*I20)+G19)/H19)</f>
        <v>#REF!</v>
      </c>
      <c r="P20" s="36">
        <f t="shared" si="3"/>
        <v>1675937</v>
      </c>
      <c r="Q20" s="36"/>
    </row>
    <row r="21" spans="1:17" ht="15.5" x14ac:dyDescent="0.35">
      <c r="A21" s="36">
        <v>19</v>
      </c>
      <c r="B21" s="39" t="s">
        <v>69</v>
      </c>
      <c r="C21" s="39" t="s">
        <v>68</v>
      </c>
      <c r="D21" s="36">
        <v>782413500</v>
      </c>
      <c r="E21" s="36"/>
      <c r="F21" s="36"/>
      <c r="G21" s="36">
        <v>81911000</v>
      </c>
      <c r="H21" s="36">
        <v>256230000</v>
      </c>
      <c r="I21" s="36">
        <v>840000000</v>
      </c>
      <c r="J21" s="39">
        <v>461333</v>
      </c>
      <c r="K21" s="39">
        <v>424431</v>
      </c>
      <c r="L21" s="36">
        <v>264010</v>
      </c>
      <c r="M21" s="36">
        <f t="shared" si="0"/>
        <v>782413500</v>
      </c>
      <c r="N21" s="36">
        <f t="shared" si="1"/>
        <v>0</v>
      </c>
      <c r="O21" s="36">
        <f>SUM(((F20*I21)+G21)/H21)</f>
        <v>1836.1702806072669</v>
      </c>
      <c r="P21" s="36">
        <f t="shared" si="3"/>
        <v>383258</v>
      </c>
      <c r="Q21" s="36"/>
    </row>
    <row r="22" spans="1:17" ht="15.5" x14ac:dyDescent="0.35">
      <c r="A22" s="36">
        <v>20</v>
      </c>
      <c r="B22" s="39" t="s">
        <v>72</v>
      </c>
      <c r="C22" s="39" t="s">
        <v>71</v>
      </c>
      <c r="D22" s="36">
        <v>269279100</v>
      </c>
      <c r="E22" s="36">
        <v>66898100</v>
      </c>
      <c r="F22" s="36">
        <v>23400</v>
      </c>
      <c r="G22" s="36">
        <v>239089</v>
      </c>
      <c r="H22" s="36">
        <v>1271136</v>
      </c>
      <c r="I22" s="36">
        <v>404050000</v>
      </c>
      <c r="J22" s="39">
        <v>344753000</v>
      </c>
      <c r="K22" s="39">
        <v>475673</v>
      </c>
      <c r="L22" s="36">
        <v>619942</v>
      </c>
      <c r="M22" s="36">
        <f t="shared" si="0"/>
        <v>269279100</v>
      </c>
      <c r="N22" s="36">
        <f t="shared" si="1"/>
        <v>66898100</v>
      </c>
      <c r="O22" s="36">
        <f t="shared" si="2"/>
        <v>7438047.7298172656</v>
      </c>
      <c r="P22" s="36">
        <f t="shared" si="3"/>
        <v>115282871.66666667</v>
      </c>
      <c r="Q22" s="36"/>
    </row>
    <row r="23" spans="1:17" ht="15.5" x14ac:dyDescent="0.35">
      <c r="A23" s="36">
        <v>21</v>
      </c>
      <c r="B23" s="39" t="s">
        <v>75</v>
      </c>
      <c r="C23" s="39" t="s">
        <v>74</v>
      </c>
      <c r="D23" s="36">
        <v>7186031335</v>
      </c>
      <c r="E23" s="36"/>
      <c r="F23" s="36">
        <v>1300</v>
      </c>
      <c r="G23" s="36">
        <v>11293000</v>
      </c>
      <c r="H23" s="36">
        <v>21089000</v>
      </c>
      <c r="I23" s="36">
        <v>11386000</v>
      </c>
      <c r="J23" s="39">
        <v>25023000</v>
      </c>
      <c r="K23" s="39">
        <v>27063</v>
      </c>
      <c r="L23" s="36">
        <v>29603</v>
      </c>
      <c r="M23" s="36">
        <f t="shared" si="0"/>
        <v>7186031335</v>
      </c>
      <c r="N23" s="36">
        <f t="shared" si="1"/>
        <v>0</v>
      </c>
      <c r="O23" s="36" t="e">
        <f>SUM(((#REF!*I23)+H23)/F23)</f>
        <v>#REF!</v>
      </c>
      <c r="P23" s="36">
        <f t="shared" si="3"/>
        <v>8359888.666666667</v>
      </c>
      <c r="Q23" s="36"/>
    </row>
    <row r="24" spans="1:17" ht="15.5" x14ac:dyDescent="0.35">
      <c r="A24" s="36">
        <v>22</v>
      </c>
      <c r="B24" s="39" t="s">
        <v>78</v>
      </c>
      <c r="C24" s="39" t="s">
        <v>77</v>
      </c>
      <c r="D24" s="39">
        <v>1218998400</v>
      </c>
      <c r="E24" s="36">
        <v>87500000</v>
      </c>
      <c r="F24" s="36">
        <v>1010</v>
      </c>
      <c r="G24" s="36">
        <v>267681</v>
      </c>
      <c r="H24" s="36">
        <v>1038097</v>
      </c>
      <c r="I24" s="36">
        <v>1713000</v>
      </c>
      <c r="J24" s="39">
        <v>1269759</v>
      </c>
      <c r="K24" s="39">
        <v>1438184</v>
      </c>
      <c r="L24" s="36">
        <v>978626</v>
      </c>
      <c r="M24" s="36">
        <f t="shared" si="0"/>
        <v>1218998400</v>
      </c>
      <c r="N24" s="36">
        <f t="shared" si="1"/>
        <v>87500000</v>
      </c>
      <c r="O24" s="36">
        <f t="shared" si="2"/>
        <v>1666.8940195376733</v>
      </c>
      <c r="P24" s="36">
        <f t="shared" si="3"/>
        <v>1228856.3333333333</v>
      </c>
      <c r="Q24" s="36"/>
    </row>
    <row r="25" spans="1:17" ht="15.5" x14ac:dyDescent="0.35">
      <c r="A25" s="36">
        <v>23</v>
      </c>
      <c r="B25" s="39" t="s">
        <v>81</v>
      </c>
      <c r="C25" s="39" t="s">
        <v>80</v>
      </c>
      <c r="D25" s="36">
        <v>251508000</v>
      </c>
      <c r="E25" s="36"/>
      <c r="F25" s="36">
        <v>288</v>
      </c>
      <c r="G25" s="36">
        <v>7949000</v>
      </c>
      <c r="H25" s="36">
        <v>18718000</v>
      </c>
      <c r="I25" s="36">
        <v>276000000</v>
      </c>
      <c r="J25" s="36">
        <v>91060000</v>
      </c>
      <c r="K25" s="36">
        <v>89390</v>
      </c>
      <c r="L25" s="36">
        <v>125730</v>
      </c>
      <c r="M25" s="36">
        <f t="shared" si="0"/>
        <v>251508000</v>
      </c>
      <c r="N25" s="36">
        <f t="shared" si="1"/>
        <v>0</v>
      </c>
      <c r="O25" s="36">
        <f t="shared" si="2"/>
        <v>4247.0322149802332</v>
      </c>
      <c r="P25" s="36">
        <f t="shared" si="3"/>
        <v>30425040</v>
      </c>
      <c r="Q25" s="36"/>
    </row>
    <row r="26" spans="1:17" ht="15.5" x14ac:dyDescent="0.35">
      <c r="A26" s="36">
        <v>24</v>
      </c>
      <c r="B26" s="39" t="s">
        <v>84</v>
      </c>
      <c r="C26" s="39" t="s">
        <v>83</v>
      </c>
      <c r="D26" s="39">
        <v>6076726473</v>
      </c>
      <c r="E26" s="36">
        <v>4000000000</v>
      </c>
      <c r="F26" s="36">
        <v>298</v>
      </c>
      <c r="G26" s="36">
        <v>963467166</v>
      </c>
      <c r="H26" s="36">
        <v>6726005150</v>
      </c>
      <c r="I26" s="36">
        <v>6889134608</v>
      </c>
      <c r="J26" s="39">
        <v>299234087</v>
      </c>
      <c r="K26" s="36">
        <v>333987373</v>
      </c>
      <c r="L26" s="36">
        <v>336776801</v>
      </c>
      <c r="M26" s="36">
        <f t="shared" si="0"/>
        <v>6076726473</v>
      </c>
      <c r="N26" s="36">
        <f t="shared" si="1"/>
        <v>4000000000</v>
      </c>
      <c r="O26" s="36">
        <f t="shared" si="2"/>
        <v>305.37080102443872</v>
      </c>
      <c r="P26" s="36">
        <f t="shared" si="3"/>
        <v>323332753.66666669</v>
      </c>
      <c r="Q26" s="36"/>
    </row>
    <row r="27" spans="1:17" ht="15.5" x14ac:dyDescent="0.35">
      <c r="A27" s="36">
        <v>25</v>
      </c>
      <c r="B27" s="39" t="s">
        <v>86</v>
      </c>
      <c r="C27" s="39"/>
      <c r="D27" s="36">
        <v>200000000</v>
      </c>
      <c r="E27" s="39"/>
      <c r="F27" s="39"/>
      <c r="G27" s="36">
        <v>254763</v>
      </c>
      <c r="H27" s="36">
        <v>532136</v>
      </c>
      <c r="I27" s="39"/>
      <c r="J27" s="39"/>
      <c r="K27" s="36">
        <v>190143</v>
      </c>
      <c r="L27" s="39">
        <v>267488</v>
      </c>
      <c r="M27" s="36">
        <f t="shared" si="0"/>
        <v>200000000</v>
      </c>
      <c r="N27" s="36">
        <f t="shared" si="1"/>
        <v>0</v>
      </c>
      <c r="O27" s="36">
        <f t="shared" si="2"/>
        <v>0.47875543094246581</v>
      </c>
      <c r="P27" s="36">
        <f t="shared" si="3"/>
        <v>228815.5</v>
      </c>
      <c r="Q27" s="36"/>
    </row>
    <row r="28" spans="1:17" ht="15.5" x14ac:dyDescent="0.35">
      <c r="A28" s="36">
        <v>26</v>
      </c>
      <c r="B28" s="39" t="s">
        <v>88</v>
      </c>
      <c r="C28" s="39"/>
      <c r="D28" s="36">
        <v>3413526</v>
      </c>
      <c r="E28" s="36"/>
      <c r="F28" s="39">
        <v>0</v>
      </c>
      <c r="G28" s="36">
        <v>1475392</v>
      </c>
      <c r="H28" s="36">
        <v>6782631</v>
      </c>
      <c r="I28" s="39">
        <v>0</v>
      </c>
      <c r="J28" s="36">
        <v>9061100</v>
      </c>
      <c r="K28" s="36">
        <v>8857758</v>
      </c>
      <c r="L28" s="36">
        <v>9627112</v>
      </c>
      <c r="M28" s="36">
        <f t="shared" si="0"/>
        <v>3413526</v>
      </c>
      <c r="N28" s="36">
        <f t="shared" si="1"/>
        <v>0</v>
      </c>
      <c r="O28" s="36">
        <f t="shared" si="2"/>
        <v>0.21752502826705447</v>
      </c>
      <c r="P28" s="36">
        <f t="shared" si="3"/>
        <v>9181990</v>
      </c>
      <c r="Q28" s="36"/>
    </row>
    <row r="29" spans="1:17" ht="15.5" x14ac:dyDescent="0.35">
      <c r="A29" s="36">
        <v>27</v>
      </c>
      <c r="B29" s="39" t="s">
        <v>91</v>
      </c>
      <c r="C29" s="39" t="s">
        <v>90</v>
      </c>
      <c r="D29" s="36">
        <v>2868011896</v>
      </c>
      <c r="E29" s="36"/>
      <c r="F29" s="36">
        <v>436</v>
      </c>
      <c r="G29" s="36">
        <v>25927000</v>
      </c>
      <c r="H29" s="36">
        <v>40345000</v>
      </c>
      <c r="I29" s="36">
        <v>1946700</v>
      </c>
      <c r="J29" s="36">
        <v>57004000</v>
      </c>
      <c r="K29" s="39">
        <v>40434</v>
      </c>
      <c r="L29" s="39">
        <v>36198</v>
      </c>
      <c r="M29" s="36">
        <f t="shared" si="0"/>
        <v>2868011896</v>
      </c>
      <c r="N29" s="36">
        <f t="shared" si="1"/>
        <v>0</v>
      </c>
      <c r="O29" s="36">
        <f t="shared" si="2"/>
        <v>21.680213161482214</v>
      </c>
      <c r="P29" s="36">
        <f>AVERAGE(J29:L29)</f>
        <v>19026877.333333332</v>
      </c>
      <c r="Q29" s="36"/>
    </row>
    <row r="30" spans="1:17" ht="15.5" x14ac:dyDescent="0.35">
      <c r="A30" s="36">
        <v>28</v>
      </c>
      <c r="B30" s="39" t="s">
        <v>95</v>
      </c>
      <c r="C30" s="39" t="s">
        <v>94</v>
      </c>
      <c r="D30" s="39">
        <v>3280000000</v>
      </c>
      <c r="E30" s="36">
        <v>3375700</v>
      </c>
      <c r="F30" s="36">
        <v>206</v>
      </c>
      <c r="G30" s="36">
        <v>765513000</v>
      </c>
      <c r="H30" s="36">
        <v>1472165</v>
      </c>
      <c r="I30" s="36">
        <v>4373363587</v>
      </c>
      <c r="J30" s="39">
        <v>229545000</v>
      </c>
      <c r="K30" s="39">
        <v>248710</v>
      </c>
      <c r="L30" s="39">
        <v>3731</v>
      </c>
      <c r="M30" s="36">
        <f t="shared" si="0"/>
        <v>3280000000</v>
      </c>
      <c r="N30" s="36">
        <f t="shared" si="1"/>
        <v>3375700</v>
      </c>
      <c r="O30" s="36">
        <f t="shared" si="2"/>
        <v>612484.61410371796</v>
      </c>
      <c r="P30" s="36">
        <f t="shared" si="3"/>
        <v>76599147</v>
      </c>
      <c r="Q30" s="36"/>
    </row>
    <row r="31" spans="1:17" ht="15.5" x14ac:dyDescent="0.35">
      <c r="A31" s="36">
        <v>29</v>
      </c>
      <c r="B31" s="39" t="s">
        <v>97</v>
      </c>
      <c r="C31" s="39" t="s">
        <v>96</v>
      </c>
      <c r="D31" s="36">
        <v>6790000000</v>
      </c>
      <c r="E31" s="36">
        <v>1867000000</v>
      </c>
      <c r="F31" s="36">
        <v>488</v>
      </c>
      <c r="G31" s="36">
        <v>5921000</v>
      </c>
      <c r="H31" s="36">
        <v>16949</v>
      </c>
      <c r="I31" s="36">
        <v>6790000000</v>
      </c>
      <c r="J31" s="36">
        <v>27347</v>
      </c>
      <c r="K31" s="36">
        <v>24433</v>
      </c>
      <c r="L31" s="36">
        <v>23295</v>
      </c>
      <c r="M31" s="36">
        <f t="shared" si="0"/>
        <v>6790000000</v>
      </c>
      <c r="N31" s="36">
        <f t="shared" si="1"/>
        <v>1867000000</v>
      </c>
      <c r="O31" s="36">
        <f t="shared" si="2"/>
        <v>195499788.83709952</v>
      </c>
      <c r="P31" s="36">
        <f t="shared" si="3"/>
        <v>25025</v>
      </c>
      <c r="Q31" s="36"/>
    </row>
    <row r="32" spans="1:17" ht="15.5" x14ac:dyDescent="0.35">
      <c r="A32" s="36">
        <v>30</v>
      </c>
      <c r="B32" s="39" t="s">
        <v>100</v>
      </c>
      <c r="C32" s="39" t="s">
        <v>99</v>
      </c>
      <c r="D32" s="36">
        <v>149300</v>
      </c>
      <c r="E32" s="39">
        <v>271875000</v>
      </c>
      <c r="F32" s="36">
        <v>1185</v>
      </c>
      <c r="G32" s="36">
        <v>181900755126</v>
      </c>
      <c r="H32" s="36">
        <v>767726284113</v>
      </c>
      <c r="I32" s="36">
        <v>1500000</v>
      </c>
      <c r="J32" s="39">
        <v>978806205312</v>
      </c>
      <c r="K32" s="36">
        <v>961217831486</v>
      </c>
      <c r="L32" s="36">
        <v>1042307144847</v>
      </c>
      <c r="M32" s="36">
        <f t="shared" si="0"/>
        <v>149300</v>
      </c>
      <c r="N32" s="36">
        <f t="shared" si="1"/>
        <v>271875000</v>
      </c>
      <c r="O32" s="36">
        <f t="shared" si="2"/>
        <v>0.23924966348939641</v>
      </c>
      <c r="P32" s="36">
        <f>AVERAGE(J32:L32)</f>
        <v>994110393881.66663</v>
      </c>
      <c r="Q32" s="36"/>
    </row>
    <row r="33" spans="1:17" ht="15.5" x14ac:dyDescent="0.35">
      <c r="A33" s="36">
        <v>31</v>
      </c>
      <c r="B33" s="39" t="s">
        <v>102</v>
      </c>
      <c r="C33" s="39" t="s">
        <v>101</v>
      </c>
      <c r="D33" s="39">
        <v>66842308595</v>
      </c>
      <c r="E33" s="39"/>
      <c r="F33" s="36">
        <v>141</v>
      </c>
      <c r="G33" s="36">
        <v>29595000</v>
      </c>
      <c r="H33" s="36">
        <v>52081000</v>
      </c>
      <c r="I33" s="36">
        <v>70898018369</v>
      </c>
      <c r="J33" s="39"/>
      <c r="K33" s="36">
        <v>10272178410</v>
      </c>
      <c r="L33" s="36">
        <v>5930282300</v>
      </c>
      <c r="M33" s="36">
        <f t="shared" si="0"/>
        <v>66842308595</v>
      </c>
      <c r="N33" s="36">
        <f t="shared" si="1"/>
        <v>0</v>
      </c>
      <c r="O33" s="36">
        <f t="shared" si="2"/>
        <v>191944.28265641982</v>
      </c>
      <c r="P33" s="36">
        <f t="shared" si="3"/>
        <v>8101230355</v>
      </c>
      <c r="Q33" s="36"/>
    </row>
  </sheetData>
  <mergeCells count="1">
    <mergeCell ref="J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D309-5AD0-4D57-AD0D-EE2E521941FC}">
  <dimension ref="A1:AJ34"/>
  <sheetViews>
    <sheetView zoomScale="45" workbookViewId="0">
      <selection activeCell="AA14" sqref="AA14"/>
    </sheetView>
  </sheetViews>
  <sheetFormatPr defaultRowHeight="14.5" x14ac:dyDescent="0.35"/>
  <cols>
    <col min="2" max="2" width="45.6328125" bestFit="1" customWidth="1"/>
  </cols>
  <sheetData>
    <row r="1" spans="1:36" x14ac:dyDescent="0.35">
      <c r="A1" s="15" t="s">
        <v>121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spans="1:36" x14ac:dyDescent="0.35">
      <c r="A2" s="30" t="s">
        <v>0</v>
      </c>
      <c r="B2" s="18" t="s">
        <v>122</v>
      </c>
      <c r="C2" s="27" t="s">
        <v>123</v>
      </c>
      <c r="D2" s="28"/>
      <c r="E2" s="28"/>
      <c r="F2" s="28"/>
      <c r="G2" s="28"/>
      <c r="H2" s="28"/>
      <c r="I2" s="27" t="s">
        <v>124</v>
      </c>
      <c r="J2" s="28"/>
      <c r="K2" s="28"/>
      <c r="L2" s="28"/>
      <c r="M2" s="28"/>
      <c r="N2" s="27" t="s">
        <v>125</v>
      </c>
      <c r="O2" s="28"/>
      <c r="P2" s="19" t="s">
        <v>132</v>
      </c>
      <c r="Q2" s="27" t="s">
        <v>126</v>
      </c>
      <c r="R2" s="28"/>
      <c r="S2" s="28"/>
      <c r="T2" s="28"/>
      <c r="U2" s="28"/>
      <c r="V2" s="27" t="s">
        <v>127</v>
      </c>
      <c r="W2" s="28"/>
      <c r="X2" s="28"/>
      <c r="Y2" s="28"/>
      <c r="Z2" s="28"/>
      <c r="AA2" s="28"/>
      <c r="AB2" s="29"/>
      <c r="AC2" s="27" t="s">
        <v>128</v>
      </c>
      <c r="AD2" s="28"/>
      <c r="AE2" s="28"/>
      <c r="AF2" s="28"/>
      <c r="AG2" s="28"/>
      <c r="AH2" s="27" t="s">
        <v>129</v>
      </c>
      <c r="AI2" s="28"/>
      <c r="AJ2" s="30" t="s">
        <v>130</v>
      </c>
    </row>
    <row r="3" spans="1:36" x14ac:dyDescent="0.35">
      <c r="A3" s="32"/>
      <c r="B3" s="20" t="s">
        <v>131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  <c r="I3" s="21">
        <v>1</v>
      </c>
      <c r="J3" s="21">
        <v>2</v>
      </c>
      <c r="K3" s="21">
        <v>3</v>
      </c>
      <c r="L3" s="21">
        <v>4</v>
      </c>
      <c r="M3" s="21">
        <v>5</v>
      </c>
      <c r="N3" s="21">
        <v>1</v>
      </c>
      <c r="O3" s="21">
        <v>2</v>
      </c>
      <c r="P3" s="21">
        <v>1</v>
      </c>
      <c r="Q3" s="21">
        <v>1</v>
      </c>
      <c r="R3" s="21">
        <v>2</v>
      </c>
      <c r="S3" s="21">
        <v>3</v>
      </c>
      <c r="T3" s="21">
        <v>4</v>
      </c>
      <c r="U3" s="21">
        <v>5</v>
      </c>
      <c r="V3" s="21">
        <v>1</v>
      </c>
      <c r="W3" s="21">
        <v>2</v>
      </c>
      <c r="X3" s="21">
        <v>3</v>
      </c>
      <c r="Y3" s="21">
        <v>4</v>
      </c>
      <c r="Z3" s="21">
        <v>5</v>
      </c>
      <c r="AA3" s="21">
        <v>6</v>
      </c>
      <c r="AB3" s="21">
        <v>7</v>
      </c>
      <c r="AC3" s="21">
        <v>1</v>
      </c>
      <c r="AD3" s="21">
        <v>2</v>
      </c>
      <c r="AE3" s="21">
        <v>3</v>
      </c>
      <c r="AF3" s="21">
        <v>4</v>
      </c>
      <c r="AG3" s="21">
        <v>5</v>
      </c>
      <c r="AH3" s="21">
        <v>1</v>
      </c>
      <c r="AI3" s="21">
        <v>2</v>
      </c>
      <c r="AJ3" s="31"/>
    </row>
    <row r="4" spans="1:36" ht="15.5" x14ac:dyDescent="0.35">
      <c r="A4" s="22">
        <v>1</v>
      </c>
      <c r="B4" s="3" t="s">
        <v>10</v>
      </c>
      <c r="C4" s="23">
        <v>1</v>
      </c>
      <c r="D4" s="23">
        <v>1</v>
      </c>
      <c r="E4" s="23">
        <v>2</v>
      </c>
      <c r="F4" s="23">
        <v>0</v>
      </c>
      <c r="G4" s="23">
        <v>1</v>
      </c>
      <c r="H4" s="23">
        <v>0</v>
      </c>
      <c r="I4" s="23">
        <v>2</v>
      </c>
      <c r="J4" s="23">
        <v>1</v>
      </c>
      <c r="K4" s="23">
        <v>1</v>
      </c>
      <c r="L4" s="23">
        <v>2</v>
      </c>
      <c r="M4" s="23">
        <v>2</v>
      </c>
      <c r="N4" s="23">
        <v>1</v>
      </c>
      <c r="O4" s="23">
        <v>0</v>
      </c>
      <c r="P4" s="23">
        <v>1</v>
      </c>
      <c r="Q4" s="23">
        <v>1</v>
      </c>
      <c r="R4" s="23">
        <v>1</v>
      </c>
      <c r="S4" s="23">
        <v>1</v>
      </c>
      <c r="T4" s="23">
        <v>1</v>
      </c>
      <c r="U4" s="23">
        <v>0</v>
      </c>
      <c r="V4" s="23">
        <v>1</v>
      </c>
      <c r="W4" s="23">
        <v>1</v>
      </c>
      <c r="X4" s="23">
        <v>1</v>
      </c>
      <c r="Y4" s="23">
        <v>1</v>
      </c>
      <c r="Z4" s="23">
        <v>0</v>
      </c>
      <c r="AA4" s="23"/>
      <c r="AB4" s="23">
        <v>0</v>
      </c>
      <c r="AC4" s="23">
        <v>0</v>
      </c>
      <c r="AD4" s="23">
        <v>0</v>
      </c>
      <c r="AE4" s="23">
        <v>0</v>
      </c>
      <c r="AF4" s="23">
        <v>0</v>
      </c>
      <c r="AG4" s="23">
        <v>1</v>
      </c>
      <c r="AH4" s="23">
        <v>1</v>
      </c>
      <c r="AI4" s="23">
        <v>1</v>
      </c>
      <c r="AJ4" s="24">
        <f t="shared" ref="AJ4:AJ34" si="0">SUM(C4:AI4)/57*100</f>
        <v>45.614035087719294</v>
      </c>
    </row>
    <row r="5" spans="1:36" ht="15.5" x14ac:dyDescent="0.35">
      <c r="A5" s="22">
        <v>2</v>
      </c>
      <c r="B5" s="3" t="s">
        <v>16</v>
      </c>
      <c r="C5" s="23">
        <v>1</v>
      </c>
      <c r="D5" s="23">
        <v>1</v>
      </c>
      <c r="E5" s="23">
        <v>1</v>
      </c>
      <c r="F5" s="23">
        <v>1</v>
      </c>
      <c r="G5" s="23">
        <v>0</v>
      </c>
      <c r="H5" s="23">
        <v>1</v>
      </c>
      <c r="I5" s="23">
        <v>1</v>
      </c>
      <c r="J5" s="23">
        <v>1</v>
      </c>
      <c r="K5" s="23">
        <v>1</v>
      </c>
      <c r="L5" s="23">
        <v>1</v>
      </c>
      <c r="M5" s="23">
        <v>1</v>
      </c>
      <c r="N5" s="23">
        <v>0</v>
      </c>
      <c r="O5" s="23">
        <v>0</v>
      </c>
      <c r="P5" s="23">
        <v>1</v>
      </c>
      <c r="Q5" s="23">
        <v>1</v>
      </c>
      <c r="R5" s="23">
        <v>1</v>
      </c>
      <c r="S5" s="23">
        <v>1</v>
      </c>
      <c r="T5" s="23">
        <v>1</v>
      </c>
      <c r="U5" s="23">
        <v>0</v>
      </c>
      <c r="V5" s="23">
        <v>1</v>
      </c>
      <c r="W5" s="23">
        <v>1</v>
      </c>
      <c r="X5" s="23">
        <v>1</v>
      </c>
      <c r="Y5" s="23">
        <v>1</v>
      </c>
      <c r="Z5" s="23">
        <v>0</v>
      </c>
      <c r="AA5" s="23"/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4">
        <f t="shared" si="0"/>
        <v>33.333333333333329</v>
      </c>
    </row>
    <row r="6" spans="1:36" ht="15.5" x14ac:dyDescent="0.35">
      <c r="A6" s="22">
        <v>3</v>
      </c>
      <c r="B6" s="3" t="s">
        <v>20</v>
      </c>
      <c r="C6" s="23">
        <v>0</v>
      </c>
      <c r="D6" s="23">
        <v>1</v>
      </c>
      <c r="E6" s="23">
        <v>0</v>
      </c>
      <c r="F6" s="23">
        <v>0</v>
      </c>
      <c r="G6" s="23">
        <v>0</v>
      </c>
      <c r="H6" s="23">
        <v>1</v>
      </c>
      <c r="I6" s="23">
        <v>1</v>
      </c>
      <c r="J6" s="23">
        <v>1</v>
      </c>
      <c r="K6" s="23">
        <v>0</v>
      </c>
      <c r="L6" s="23">
        <v>0</v>
      </c>
      <c r="M6" s="23">
        <v>0</v>
      </c>
      <c r="N6" s="23">
        <v>1</v>
      </c>
      <c r="O6" s="23">
        <v>0</v>
      </c>
      <c r="P6" s="23">
        <v>0</v>
      </c>
      <c r="Q6" s="23">
        <v>1</v>
      </c>
      <c r="R6" s="23">
        <v>1</v>
      </c>
      <c r="S6" s="23">
        <v>1</v>
      </c>
      <c r="T6" s="23">
        <v>1</v>
      </c>
      <c r="U6" s="23">
        <v>0</v>
      </c>
      <c r="V6" s="23">
        <v>1</v>
      </c>
      <c r="W6" s="23">
        <v>1</v>
      </c>
      <c r="X6" s="23">
        <v>1</v>
      </c>
      <c r="Y6" s="23">
        <v>1</v>
      </c>
      <c r="Z6" s="23">
        <v>1</v>
      </c>
      <c r="AA6" s="23"/>
      <c r="AB6" s="23">
        <v>1</v>
      </c>
      <c r="AC6" s="23">
        <v>0</v>
      </c>
      <c r="AD6" s="23">
        <v>1</v>
      </c>
      <c r="AE6" s="23">
        <v>1</v>
      </c>
      <c r="AF6" s="23">
        <v>1</v>
      </c>
      <c r="AG6" s="23">
        <v>1</v>
      </c>
      <c r="AH6" s="23">
        <v>0</v>
      </c>
      <c r="AI6" s="23">
        <v>1</v>
      </c>
      <c r="AJ6" s="24">
        <f t="shared" si="0"/>
        <v>35.087719298245609</v>
      </c>
    </row>
    <row r="7" spans="1:36" ht="15.5" x14ac:dyDescent="0.35">
      <c r="A7" s="22">
        <v>4</v>
      </c>
      <c r="B7" s="3" t="s">
        <v>24</v>
      </c>
      <c r="C7" s="23">
        <v>0</v>
      </c>
      <c r="D7" s="23">
        <v>1</v>
      </c>
      <c r="E7" s="23">
        <v>0</v>
      </c>
      <c r="F7" s="23">
        <v>0</v>
      </c>
      <c r="G7" s="23">
        <v>0</v>
      </c>
      <c r="H7" s="23">
        <v>1</v>
      </c>
      <c r="I7" s="23">
        <v>1</v>
      </c>
      <c r="J7" s="23">
        <v>0</v>
      </c>
      <c r="K7" s="23">
        <v>0</v>
      </c>
      <c r="L7" s="23">
        <v>0</v>
      </c>
      <c r="M7" s="23">
        <v>0</v>
      </c>
      <c r="N7" s="23">
        <v>1</v>
      </c>
      <c r="O7" s="23">
        <v>1</v>
      </c>
      <c r="P7" s="23">
        <v>0</v>
      </c>
      <c r="Q7" s="23">
        <v>1</v>
      </c>
      <c r="R7" s="23">
        <v>1</v>
      </c>
      <c r="S7" s="23">
        <v>1</v>
      </c>
      <c r="T7" s="23">
        <v>1</v>
      </c>
      <c r="U7" s="23">
        <v>1</v>
      </c>
      <c r="V7" s="23">
        <v>0</v>
      </c>
      <c r="W7" s="23">
        <v>0</v>
      </c>
      <c r="X7" s="23">
        <v>1</v>
      </c>
      <c r="Y7" s="23">
        <v>1</v>
      </c>
      <c r="Z7" s="23">
        <v>1</v>
      </c>
      <c r="AA7" s="23"/>
      <c r="AB7" s="23">
        <v>1</v>
      </c>
      <c r="AC7" s="23">
        <v>1</v>
      </c>
      <c r="AD7" s="23">
        <v>1</v>
      </c>
      <c r="AE7" s="23">
        <v>0</v>
      </c>
      <c r="AF7" s="23">
        <v>0</v>
      </c>
      <c r="AG7" s="23">
        <v>1</v>
      </c>
      <c r="AH7" s="23">
        <v>0</v>
      </c>
      <c r="AI7" s="23">
        <v>0</v>
      </c>
      <c r="AJ7" s="24">
        <f t="shared" si="0"/>
        <v>29.82456140350877</v>
      </c>
    </row>
    <row r="8" spans="1:36" ht="15.5" x14ac:dyDescent="0.35">
      <c r="A8" s="22">
        <v>5</v>
      </c>
      <c r="B8" s="3" t="s">
        <v>28</v>
      </c>
      <c r="C8" s="23">
        <v>1</v>
      </c>
      <c r="D8" s="23">
        <v>0</v>
      </c>
      <c r="E8" s="23">
        <v>0</v>
      </c>
      <c r="F8" s="23">
        <v>0</v>
      </c>
      <c r="G8" s="23">
        <v>0</v>
      </c>
      <c r="H8" s="23">
        <v>1</v>
      </c>
      <c r="I8" s="23">
        <v>1</v>
      </c>
      <c r="J8" s="23">
        <v>1</v>
      </c>
      <c r="K8" s="23">
        <v>1</v>
      </c>
      <c r="L8" s="23">
        <v>0</v>
      </c>
      <c r="M8" s="23">
        <v>0</v>
      </c>
      <c r="N8" s="23">
        <v>1</v>
      </c>
      <c r="O8" s="23">
        <v>1</v>
      </c>
      <c r="P8" s="23">
        <v>1</v>
      </c>
      <c r="Q8" s="23">
        <v>1</v>
      </c>
      <c r="R8" s="23">
        <v>1</v>
      </c>
      <c r="S8" s="23">
        <v>0</v>
      </c>
      <c r="T8" s="23">
        <v>1</v>
      </c>
      <c r="U8" s="23">
        <v>1</v>
      </c>
      <c r="V8" s="23">
        <v>0</v>
      </c>
      <c r="W8" s="23">
        <v>1</v>
      </c>
      <c r="X8" s="23">
        <v>0</v>
      </c>
      <c r="Y8" s="23">
        <v>0</v>
      </c>
      <c r="Z8" s="23">
        <v>1</v>
      </c>
      <c r="AA8" s="23"/>
      <c r="AB8" s="23">
        <v>1</v>
      </c>
      <c r="AC8" s="23">
        <v>1</v>
      </c>
      <c r="AD8" s="23">
        <v>1</v>
      </c>
      <c r="AE8" s="23">
        <v>1</v>
      </c>
      <c r="AF8" s="23">
        <v>1</v>
      </c>
      <c r="AG8" s="23">
        <v>1</v>
      </c>
      <c r="AH8" s="23">
        <v>1</v>
      </c>
      <c r="AI8" s="23">
        <v>0</v>
      </c>
      <c r="AJ8" s="24">
        <f t="shared" si="0"/>
        <v>36.84210526315789</v>
      </c>
    </row>
    <row r="9" spans="1:36" ht="15.5" x14ac:dyDescent="0.35">
      <c r="A9" s="22">
        <v>6</v>
      </c>
      <c r="B9" s="3" t="s">
        <v>32</v>
      </c>
      <c r="C9" s="23">
        <v>1</v>
      </c>
      <c r="D9" s="23">
        <v>1</v>
      </c>
      <c r="E9" s="23">
        <v>1</v>
      </c>
      <c r="F9" s="23">
        <v>1</v>
      </c>
      <c r="G9" s="23">
        <v>0</v>
      </c>
      <c r="H9" s="23">
        <v>0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0</v>
      </c>
      <c r="O9" s="23">
        <v>0</v>
      </c>
      <c r="P9" s="23">
        <v>1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1</v>
      </c>
      <c r="X9" s="23">
        <v>1</v>
      </c>
      <c r="Y9" s="23">
        <v>0</v>
      </c>
      <c r="Z9" s="23">
        <v>0</v>
      </c>
      <c r="AA9" s="23"/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1</v>
      </c>
      <c r="AI9" s="23">
        <v>0</v>
      </c>
      <c r="AJ9" s="24">
        <f t="shared" si="0"/>
        <v>22.807017543859647</v>
      </c>
    </row>
    <row r="10" spans="1:36" ht="15.5" x14ac:dyDescent="0.35">
      <c r="A10" s="22">
        <v>7</v>
      </c>
      <c r="B10" s="3" t="s">
        <v>35</v>
      </c>
      <c r="C10" s="23">
        <v>1</v>
      </c>
      <c r="D10" s="23">
        <v>1</v>
      </c>
      <c r="E10" s="23">
        <v>1</v>
      </c>
      <c r="F10" s="23">
        <v>1</v>
      </c>
      <c r="G10" s="23">
        <v>1</v>
      </c>
      <c r="H10" s="23">
        <v>1</v>
      </c>
      <c r="I10" s="23">
        <v>1</v>
      </c>
      <c r="J10" s="23">
        <v>1</v>
      </c>
      <c r="K10" s="23">
        <v>1</v>
      </c>
      <c r="L10" s="23">
        <v>1</v>
      </c>
      <c r="M10" s="23">
        <v>1</v>
      </c>
      <c r="N10" s="23">
        <v>0</v>
      </c>
      <c r="O10" s="23">
        <v>0</v>
      </c>
      <c r="P10" s="23">
        <v>1</v>
      </c>
      <c r="Q10" s="23">
        <v>1</v>
      </c>
      <c r="R10" s="23">
        <v>1</v>
      </c>
      <c r="S10" s="23">
        <v>1</v>
      </c>
      <c r="T10" s="23">
        <v>0</v>
      </c>
      <c r="U10" s="23">
        <v>0</v>
      </c>
      <c r="V10" s="23">
        <v>0</v>
      </c>
      <c r="W10" s="23">
        <v>1</v>
      </c>
      <c r="X10" s="23">
        <v>0</v>
      </c>
      <c r="Y10" s="23">
        <v>1</v>
      </c>
      <c r="Z10" s="23">
        <v>0</v>
      </c>
      <c r="AA10" s="23"/>
      <c r="AB10" s="23">
        <v>0</v>
      </c>
      <c r="AC10" s="23">
        <v>0</v>
      </c>
      <c r="AD10" s="23">
        <v>1</v>
      </c>
      <c r="AE10" s="23">
        <v>1</v>
      </c>
      <c r="AF10" s="23">
        <v>0</v>
      </c>
      <c r="AG10" s="23">
        <v>0</v>
      </c>
      <c r="AH10" s="23">
        <v>1</v>
      </c>
      <c r="AI10" s="23">
        <v>0</v>
      </c>
      <c r="AJ10" s="24">
        <f t="shared" si="0"/>
        <v>35.087719298245609</v>
      </c>
    </row>
    <row r="11" spans="1:36" ht="15.5" x14ac:dyDescent="0.35">
      <c r="A11" s="22">
        <v>8</v>
      </c>
      <c r="B11" s="3" t="s">
        <v>39</v>
      </c>
      <c r="C11" s="23">
        <v>1</v>
      </c>
      <c r="D11" s="23">
        <v>1</v>
      </c>
      <c r="E11" s="23">
        <v>1</v>
      </c>
      <c r="F11" s="23">
        <v>1</v>
      </c>
      <c r="G11" s="23">
        <v>1</v>
      </c>
      <c r="H11" s="23">
        <v>1</v>
      </c>
      <c r="I11" s="23">
        <v>0</v>
      </c>
      <c r="J11" s="23">
        <v>1</v>
      </c>
      <c r="K11" s="23">
        <v>1</v>
      </c>
      <c r="L11" s="23">
        <v>1</v>
      </c>
      <c r="M11" s="23">
        <v>1</v>
      </c>
      <c r="N11" s="23">
        <v>0</v>
      </c>
      <c r="O11" s="23">
        <v>0</v>
      </c>
      <c r="P11" s="23">
        <v>1</v>
      </c>
      <c r="Q11" s="23">
        <v>1</v>
      </c>
      <c r="R11" s="23">
        <v>1</v>
      </c>
      <c r="S11" s="23">
        <v>0</v>
      </c>
      <c r="T11" s="23">
        <v>0</v>
      </c>
      <c r="U11" s="23">
        <v>0</v>
      </c>
      <c r="V11" s="23">
        <v>1</v>
      </c>
      <c r="W11" s="23">
        <v>1</v>
      </c>
      <c r="X11" s="23">
        <v>1</v>
      </c>
      <c r="Y11" s="23">
        <v>0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>
        <f t="shared" si="0"/>
        <v>28.07017543859649</v>
      </c>
    </row>
    <row r="12" spans="1:36" ht="15.5" x14ac:dyDescent="0.35">
      <c r="A12" s="22">
        <v>9</v>
      </c>
      <c r="B12" s="3" t="s">
        <v>41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4">
        <f t="shared" si="0"/>
        <v>0</v>
      </c>
    </row>
    <row r="13" spans="1:36" ht="15.5" x14ac:dyDescent="0.35">
      <c r="A13" s="22">
        <v>10</v>
      </c>
      <c r="B13" s="3" t="s">
        <v>44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4">
        <f t="shared" si="0"/>
        <v>0</v>
      </c>
    </row>
    <row r="14" spans="1:36" ht="15.5" x14ac:dyDescent="0.35">
      <c r="A14" s="22">
        <v>11</v>
      </c>
      <c r="B14" s="3" t="s">
        <v>47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4">
        <f t="shared" si="0"/>
        <v>0</v>
      </c>
    </row>
    <row r="15" spans="1:36" ht="15.5" x14ac:dyDescent="0.35">
      <c r="A15" s="22">
        <v>12</v>
      </c>
      <c r="B15" s="3" t="s">
        <v>51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4">
        <f t="shared" si="0"/>
        <v>0</v>
      </c>
    </row>
    <row r="16" spans="1:36" ht="15.5" x14ac:dyDescent="0.35">
      <c r="A16" s="22">
        <v>13</v>
      </c>
      <c r="B16" s="3" t="s">
        <v>54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4">
        <f t="shared" si="0"/>
        <v>0</v>
      </c>
    </row>
    <row r="17" spans="1:36" ht="15.5" x14ac:dyDescent="0.35">
      <c r="A17" s="22">
        <v>14</v>
      </c>
      <c r="B17" s="3" t="s">
        <v>58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4">
        <f t="shared" si="0"/>
        <v>0</v>
      </c>
    </row>
    <row r="18" spans="1:36" ht="15.5" x14ac:dyDescent="0.35">
      <c r="A18" s="22">
        <v>15</v>
      </c>
      <c r="B18" s="3" t="s">
        <v>61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4">
        <f t="shared" si="0"/>
        <v>0</v>
      </c>
    </row>
    <row r="19" spans="1:36" ht="15.5" x14ac:dyDescent="0.35">
      <c r="A19" s="22">
        <v>16</v>
      </c>
      <c r="B19" s="3" t="s">
        <v>63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4">
        <f t="shared" si="0"/>
        <v>0</v>
      </c>
    </row>
    <row r="20" spans="1:36" ht="15.5" x14ac:dyDescent="0.35">
      <c r="A20" s="22">
        <v>17</v>
      </c>
      <c r="B20" s="3" t="s">
        <v>64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4">
        <f t="shared" si="0"/>
        <v>0</v>
      </c>
    </row>
    <row r="21" spans="1:36" ht="15.5" x14ac:dyDescent="0.35">
      <c r="A21" s="22">
        <v>18</v>
      </c>
      <c r="B21" s="3" t="s">
        <v>66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>
        <f t="shared" si="0"/>
        <v>0</v>
      </c>
    </row>
    <row r="22" spans="1:36" ht="15.5" x14ac:dyDescent="0.35">
      <c r="A22" s="22">
        <v>19</v>
      </c>
      <c r="B22" s="3" t="s">
        <v>69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0"/>
        <v>0</v>
      </c>
    </row>
    <row r="23" spans="1:36" ht="15.5" x14ac:dyDescent="0.35">
      <c r="A23" s="22">
        <v>20</v>
      </c>
      <c r="B23" s="3" t="s">
        <v>72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0"/>
        <v>0</v>
      </c>
    </row>
    <row r="24" spans="1:36" ht="15.5" x14ac:dyDescent="0.35">
      <c r="A24" s="22">
        <v>21</v>
      </c>
      <c r="B24" s="3" t="s">
        <v>75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0"/>
        <v>0</v>
      </c>
    </row>
    <row r="25" spans="1:36" ht="15.5" x14ac:dyDescent="0.35">
      <c r="A25" s="22">
        <v>22</v>
      </c>
      <c r="B25" s="3" t="s">
        <v>78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>
        <f t="shared" si="0"/>
        <v>0</v>
      </c>
    </row>
    <row r="26" spans="1:36" ht="15.5" x14ac:dyDescent="0.35">
      <c r="A26" s="22">
        <v>23</v>
      </c>
      <c r="B26" s="3" t="s">
        <v>81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>
        <f t="shared" si="0"/>
        <v>0</v>
      </c>
    </row>
    <row r="27" spans="1:36" ht="15.5" x14ac:dyDescent="0.35">
      <c r="A27" s="22">
        <v>24</v>
      </c>
      <c r="B27" s="3" t="s">
        <v>84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>
        <f t="shared" si="0"/>
        <v>0</v>
      </c>
    </row>
    <row r="28" spans="1:36" ht="15.5" x14ac:dyDescent="0.35">
      <c r="A28" s="22">
        <v>25</v>
      </c>
      <c r="B28" s="3" t="s">
        <v>86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4">
        <f t="shared" si="0"/>
        <v>0</v>
      </c>
    </row>
    <row r="29" spans="1:36" ht="15.5" x14ac:dyDescent="0.35">
      <c r="A29" s="22">
        <v>26</v>
      </c>
      <c r="B29" s="3" t="s">
        <v>88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4">
        <f t="shared" si="0"/>
        <v>0</v>
      </c>
    </row>
    <row r="30" spans="1:36" ht="15.5" x14ac:dyDescent="0.35">
      <c r="A30" s="22">
        <v>27</v>
      </c>
      <c r="B30" s="3" t="s">
        <v>91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4">
        <f t="shared" si="0"/>
        <v>0</v>
      </c>
    </row>
    <row r="31" spans="1:36" ht="15.5" x14ac:dyDescent="0.35">
      <c r="A31" s="22">
        <v>28</v>
      </c>
      <c r="B31" s="3" t="s">
        <v>95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4">
        <f t="shared" si="0"/>
        <v>0</v>
      </c>
    </row>
    <row r="32" spans="1:36" ht="15.5" x14ac:dyDescent="0.35">
      <c r="A32" s="22">
        <v>29</v>
      </c>
      <c r="B32" s="3" t="s">
        <v>97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4">
        <f t="shared" si="0"/>
        <v>0</v>
      </c>
    </row>
    <row r="33" spans="1:36" ht="15.5" x14ac:dyDescent="0.35">
      <c r="A33" s="22">
        <v>30</v>
      </c>
      <c r="B33" s="3" t="s">
        <v>100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>
        <f t="shared" si="0"/>
        <v>0</v>
      </c>
    </row>
    <row r="34" spans="1:36" ht="15.5" x14ac:dyDescent="0.35">
      <c r="A34" s="22">
        <v>31</v>
      </c>
      <c r="B34" s="3" t="s">
        <v>102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4">
        <f t="shared" si="0"/>
        <v>0</v>
      </c>
    </row>
  </sheetData>
  <mergeCells count="9">
    <mergeCell ref="V2:AB2"/>
    <mergeCell ref="AC2:AG2"/>
    <mergeCell ref="AH2:AI2"/>
    <mergeCell ref="AJ2:AJ3"/>
    <mergeCell ref="A2:A3"/>
    <mergeCell ref="C2:H2"/>
    <mergeCell ref="I2:M2"/>
    <mergeCell ref="N2:O2"/>
    <mergeCell ref="Q2:U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14s</dc:creator>
  <cp:lastModifiedBy>JULI YANDI RAHMAN</cp:lastModifiedBy>
  <dcterms:created xsi:type="dcterms:W3CDTF">2023-02-19T12:08:40Z</dcterms:created>
  <dcterms:modified xsi:type="dcterms:W3CDTF">2023-05-25T04:19:49Z</dcterms:modified>
</cp:coreProperties>
</file>